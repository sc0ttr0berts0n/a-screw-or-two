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Startup Costs" sheetId="2" state="visible" r:id="rId4"/>
    <sheet name="Kit Builder" sheetId="3" state="visible" r:id="rId5"/>
    <sheet name="Suppliers" sheetId="4" state="visible" r:id="rId6"/>
  </sheets>
  <definedNames>
    <definedName function="false" hidden="true" localSheetId="0" name="_xlnm._FilterDatabase" vbProcedure="false">Inventory!$A$1:$S$94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<sst xmlns="http://schemas.openxmlformats.org/spreadsheetml/2006/main" count="1008" uniqueCount="400">
  <si>
    <t xml:space="preserve">SKU</t>
  </si>
  <si>
    <t xml:space="preserve">Category</t>
  </si>
  <si>
    <t xml:space="preserve">Sub-Category</t>
  </si>
  <si>
    <t xml:space="preserve">Niche Tags</t>
  </si>
  <si>
    <t xml:space="preserve">Description</t>
  </si>
  <si>
    <t xml:space="preserve">Material</t>
  </si>
  <si>
    <t xml:space="preserve">Size</t>
  </si>
  <si>
    <t xml:space="preserve">Length (mm)</t>
  </si>
  <si>
    <t xml:space="preserve">Drive Type</t>
  </si>
  <si>
    <t xml:space="preserve">Bulk Qty Ordered</t>
  </si>
  <si>
    <t xml:space="preserve">Bulk Cost ($)</t>
  </si>
  <si>
    <t xml:space="preserve">Cost Per Piece ($)</t>
  </si>
  <si>
    <t xml:space="preserve">Sell Price Each ($)</t>
  </si>
  <si>
    <t xml:space="preserve">Markup (x)</t>
  </si>
  <si>
    <t xml:space="preserve">Margin (%)</t>
  </si>
  <si>
    <t xml:space="preserve">Min Sell Qty</t>
  </si>
  <si>
    <t xml:space="preserve">Reorder Point</t>
  </si>
  <si>
    <t xml:space="preserve">Supplier</t>
  </si>
  <si>
    <t xml:space="preserve">Notes</t>
  </si>
  <si>
    <t xml:space="preserve">SHCS-M2-4</t>
  </si>
  <si>
    <t xml:space="preserve">Screws</t>
  </si>
  <si>
    <t xml:space="preserve">Socket Head Cap</t>
  </si>
  <si>
    <t xml:space="preserve">3DP, Drone, Elec</t>
  </si>
  <si>
    <t xml:space="preserve">M2 x 4mm Socket Head Cap Screw</t>
  </si>
  <si>
    <t xml:space="preserve">SS 18-8</t>
  </si>
  <si>
    <t xml:space="preserve">M2</t>
  </si>
  <si>
    <t xml:space="preserve">Hex 1.5mm</t>
  </si>
  <si>
    <t xml:space="preserve">Monster Bolts</t>
  </si>
  <si>
    <t xml:space="preserve">Camera mounts, micro builds</t>
  </si>
  <si>
    <t xml:space="preserve">SHCS-M2-6</t>
  </si>
  <si>
    <t xml:space="preserve">M2 x 6mm Socket Head Cap Screw</t>
  </si>
  <si>
    <t xml:space="preserve">FC/ESC stack mounting</t>
  </si>
  <si>
    <t xml:space="preserve">SHCS-M2-8</t>
  </si>
  <si>
    <t xml:space="preserve">M2 x 8mm Socket Head Cap Screw</t>
  </si>
  <si>
    <t xml:space="preserve">Standoff mounting, cameras</t>
  </si>
  <si>
    <t xml:space="preserve">SHCS-M2-10</t>
  </si>
  <si>
    <t xml:space="preserve">M2 x 10mm Socket Head Cap Screw</t>
  </si>
  <si>
    <t xml:space="preserve">SHCS-M2-12</t>
  </si>
  <si>
    <t xml:space="preserve">Drone, Elec</t>
  </si>
  <si>
    <t xml:space="preserve">M2 x 12mm Socket Head Cap Screw</t>
  </si>
  <si>
    <t xml:space="preserve">Long camera mount screws</t>
  </si>
  <si>
    <t xml:space="preserve">SHCS-M25-6</t>
  </si>
  <si>
    <t xml:space="preserve">Elec, 3DP</t>
  </si>
  <si>
    <t xml:space="preserve">M2.5 x 6mm Socket Head Cap Screw</t>
  </si>
  <si>
    <t xml:space="preserve">M2.5</t>
  </si>
  <si>
    <t xml:space="preserve">Hex 2mm</t>
  </si>
  <si>
    <t xml:space="preserve">Raspberry Pi mounting</t>
  </si>
  <si>
    <t xml:space="preserve">SHCS-M25-8</t>
  </si>
  <si>
    <t xml:space="preserve">M2.5 x 8mm Socket Head Cap Screw</t>
  </si>
  <si>
    <t xml:space="preserve">Pi + standoff combos</t>
  </si>
  <si>
    <t xml:space="preserve">SHCS-M25-10</t>
  </si>
  <si>
    <t xml:space="preserve">M2.5 x 10mm Socket Head Cap Screw</t>
  </si>
  <si>
    <t xml:space="preserve">SHCS-M25-12</t>
  </si>
  <si>
    <t xml:space="preserve">M2.5 x 12mm Socket Head Cap Screw</t>
  </si>
  <si>
    <t xml:space="preserve">SHCS-M3-6</t>
  </si>
  <si>
    <t xml:space="preserve">3DP, Drone</t>
  </si>
  <si>
    <t xml:space="preserve">M3 x 6mm Socket Head Cap Screw</t>
  </si>
  <si>
    <t xml:space="preserve">M3</t>
  </si>
  <si>
    <t xml:space="preserve">Hex 2.5mm</t>
  </si>
  <si>
    <t xml:space="preserve">Voron BOM staple</t>
  </si>
  <si>
    <t xml:space="preserve">SHCS-M3-8</t>
  </si>
  <si>
    <t xml:space="preserve">M3 x 8mm Socket Head Cap Screw</t>
  </si>
  <si>
    <t xml:space="preserve">Voron most-used size</t>
  </si>
  <si>
    <t xml:space="preserve">SHCS-M3-10</t>
  </si>
  <si>
    <t xml:space="preserve">M3 x 10mm Socket Head Cap Screw</t>
  </si>
  <si>
    <t xml:space="preserve">Frame builds</t>
  </si>
  <si>
    <t xml:space="preserve">SHCS-M3-12</t>
  </si>
  <si>
    <t xml:space="preserve">M3 x 12mm Socket Head Cap Screw</t>
  </si>
  <si>
    <t xml:space="preserve">Voron BOM</t>
  </si>
  <si>
    <t xml:space="preserve">SHCS-M3-16</t>
  </si>
  <si>
    <t xml:space="preserve">3DP</t>
  </si>
  <si>
    <t xml:space="preserve">M3 x 16mm Socket Head Cap Screw</t>
  </si>
  <si>
    <t xml:space="preserve">SHCS-M3-20</t>
  </si>
  <si>
    <t xml:space="preserve">M3 x 20mm Socket Head Cap Screw</t>
  </si>
  <si>
    <t xml:space="preserve">Voron Z-drive</t>
  </si>
  <si>
    <t xml:space="preserve">SHCS-M3-25</t>
  </si>
  <si>
    <t xml:space="preserve">M3 x 25mm Socket Head Cap Screw</t>
  </si>
  <si>
    <t xml:space="preserve">SHCS-M3-30</t>
  </si>
  <si>
    <t xml:space="preserve">M3 x 30mm Socket Head Cap Screw</t>
  </si>
  <si>
    <t xml:space="preserve">SHCS-M3-35</t>
  </si>
  <si>
    <t xml:space="preserve">M3 x 35mm Socket Head Cap Screw</t>
  </si>
  <si>
    <t xml:space="preserve">SHCS-M3-40</t>
  </si>
  <si>
    <t xml:space="preserve">M3 x 40mm Socket Head Cap Screw</t>
  </si>
  <si>
    <t xml:space="preserve">SHCS-M4-6</t>
  </si>
  <si>
    <t xml:space="preserve">M4 x 6mm Socket Head Cap Screw</t>
  </si>
  <si>
    <t xml:space="preserve">M4</t>
  </si>
  <si>
    <t xml:space="preserve">Hex 3mm</t>
  </si>
  <si>
    <t xml:space="preserve">SHCS-M4-10</t>
  </si>
  <si>
    <t xml:space="preserve">M4 x 10mm Socket Head Cap Screw</t>
  </si>
  <si>
    <t xml:space="preserve">SHCS-M4-16</t>
  </si>
  <si>
    <t xml:space="preserve">M4 x 16mm Socket Head Cap Screw</t>
  </si>
  <si>
    <t xml:space="preserve">SHCS-M5-10</t>
  </si>
  <si>
    <t xml:space="preserve">M5 x 10mm Socket Head Cap Screw</t>
  </si>
  <si>
    <t xml:space="preserve">M5</t>
  </si>
  <si>
    <t xml:space="preserve">Hex 4mm</t>
  </si>
  <si>
    <t xml:space="preserve">Voron frame assembly</t>
  </si>
  <si>
    <t xml:space="preserve">SHCS-M5-16</t>
  </si>
  <si>
    <t xml:space="preserve">M5 x 16mm Socket Head Cap Screw</t>
  </si>
  <si>
    <t xml:space="preserve">Voron BOM (47 needed)</t>
  </si>
  <si>
    <t xml:space="preserve">SHCS-M5-25</t>
  </si>
  <si>
    <t xml:space="preserve">M5 x 25mm Socket Head Cap Screw</t>
  </si>
  <si>
    <t xml:space="preserve">SHCS-M5-30</t>
  </si>
  <si>
    <t xml:space="preserve">M5 x 30mm Socket Head Cap Screw</t>
  </si>
  <si>
    <t xml:space="preserve">Voron BOM (42 needed)</t>
  </si>
  <si>
    <t xml:space="preserve">SHCS-M5-40</t>
  </si>
  <si>
    <t xml:space="preserve">M5 x 40mm Socket Head Cap Screw</t>
  </si>
  <si>
    <t xml:space="preserve">Voron BOM (22 needed)</t>
  </si>
  <si>
    <t xml:space="preserve">BHCS-M3-6</t>
  </si>
  <si>
    <t xml:space="preserve">Button Head Cap</t>
  </si>
  <si>
    <t xml:space="preserve">M3 x 6mm Button Head Cap Screw</t>
  </si>
  <si>
    <t xml:space="preserve">Albany County</t>
  </si>
  <si>
    <t xml:space="preserve">Low profile, Voron BOM (26)</t>
  </si>
  <si>
    <t xml:space="preserve">BHCS-M3-8</t>
  </si>
  <si>
    <t xml:space="preserve">M3 x 8mm Button Head Cap Screw</t>
  </si>
  <si>
    <t xml:space="preserve">Drone frame top plates</t>
  </si>
  <si>
    <t xml:space="preserve">BHCS-M3-10</t>
  </si>
  <si>
    <t xml:space="preserve">M3 x 10mm Button Head Cap Screw</t>
  </si>
  <si>
    <t xml:space="preserve">FPV arm screws</t>
  </si>
  <si>
    <t xml:space="preserve">BHCS-M3-12</t>
  </si>
  <si>
    <t xml:space="preserve">M3 x 12mm Button Head Cap Screw</t>
  </si>
  <si>
    <t xml:space="preserve">BHCS-M3-16</t>
  </si>
  <si>
    <t xml:space="preserve">M3 x 16mm Button Head Cap Screw</t>
  </si>
  <si>
    <t xml:space="preserve">BHCS-M4-6</t>
  </si>
  <si>
    <t xml:space="preserve">M4 x 6mm Button Head Cap Screw</t>
  </si>
  <si>
    <t xml:space="preserve">Voron BOM (24)</t>
  </si>
  <si>
    <t xml:space="preserve">BHCS-M5-10</t>
  </si>
  <si>
    <t xml:space="preserve">M5 x 10mm Button Head Cap Screw</t>
  </si>
  <si>
    <t xml:space="preserve">Voron BOM (60)</t>
  </si>
  <si>
    <t xml:space="preserve">BHCS-M5-16</t>
  </si>
  <si>
    <t xml:space="preserve">M5 x 16mm Button Head Cap Screw</t>
  </si>
  <si>
    <t xml:space="preserve">Voron BOM (47)</t>
  </si>
  <si>
    <t xml:space="preserve">CSK-M3-6</t>
  </si>
  <si>
    <t xml:space="preserve">Countersunk</t>
  </si>
  <si>
    <t xml:space="preserve">Drone, 3DP</t>
  </si>
  <si>
    <t xml:space="preserve">M3 x 6mm Flat Head Countersunk</t>
  </si>
  <si>
    <t xml:space="preserve">Flush mount on drone frames</t>
  </si>
  <si>
    <t xml:space="preserve">CSK-M3-8</t>
  </si>
  <si>
    <t xml:space="preserve">M3 x 8mm Flat Head Countersunk</t>
  </si>
  <si>
    <t xml:space="preserve">FPV motor mounting</t>
  </si>
  <si>
    <t xml:space="preserve">CSK-M3-10</t>
  </si>
  <si>
    <t xml:space="preserve">Drone</t>
  </si>
  <si>
    <t xml:space="preserve">M3 x 10mm Flat Head Countersunk</t>
  </si>
  <si>
    <t xml:space="preserve">Motor mount, longer</t>
  </si>
  <si>
    <t xml:space="preserve">CSK-M3-12</t>
  </si>
  <si>
    <t xml:space="preserve">M3 x 12mm Flat Head Countersunk</t>
  </si>
  <si>
    <t xml:space="preserve">STS-M2-10</t>
  </si>
  <si>
    <t xml:space="preserve">Self-Tapping</t>
  </si>
  <si>
    <t xml:space="preserve">M2 x 10mm Self-Tapping Screw</t>
  </si>
  <si>
    <t xml:space="preserve">Phillips</t>
  </si>
  <si>
    <t xml:space="preserve">3DP panel mounting</t>
  </si>
  <si>
    <t xml:space="preserve">STS-M3-5</t>
  </si>
  <si>
    <t xml:space="preserve">M3 x 5mm Self-Tapping Screw</t>
  </si>
  <si>
    <t xml:space="preserve">Black Oxide</t>
  </si>
  <si>
    <t xml:space="preserve">Voron panel clips</t>
  </si>
  <si>
    <t xml:space="preserve">NUT-M2</t>
  </si>
  <si>
    <t xml:space="preserve">Nuts</t>
  </si>
  <si>
    <t xml:space="preserve">Hex Nut</t>
  </si>
  <si>
    <t xml:space="preserve">M2 Hex Nut</t>
  </si>
  <si>
    <t xml:space="preserve">NUT-M25</t>
  </si>
  <si>
    <t xml:space="preserve">Elec</t>
  </si>
  <si>
    <t xml:space="preserve">M2.5 Hex Nut</t>
  </si>
  <si>
    <t xml:space="preserve">Pi standoff assembly</t>
  </si>
  <si>
    <t xml:space="preserve">NUT-M3</t>
  </si>
  <si>
    <t xml:space="preserve">M3 Hex Nut</t>
  </si>
  <si>
    <t xml:space="preserve">Voron BOM (27)</t>
  </si>
  <si>
    <t xml:space="preserve">NUT-M4</t>
  </si>
  <si>
    <t xml:space="preserve">M4 Hex Nut</t>
  </si>
  <si>
    <t xml:space="preserve">NUT-M5</t>
  </si>
  <si>
    <t xml:space="preserve">M5 Hex Nut</t>
  </si>
  <si>
    <t xml:space="preserve">Voron BOM (46)</t>
  </si>
  <si>
    <t xml:space="preserve">NYLOC-M2</t>
  </si>
  <si>
    <t xml:space="preserve">Nyloc Nut</t>
  </si>
  <si>
    <t xml:space="preserve">M2 Nylon Insert Lock Nut</t>
  </si>
  <si>
    <t xml:space="preserve">Anti-vibration, drone motors</t>
  </si>
  <si>
    <t xml:space="preserve">NYLOC-M3</t>
  </si>
  <si>
    <t xml:space="preserve">M3 Nylon Insert Lock Nut</t>
  </si>
  <si>
    <t xml:space="preserve">NYLOC-M4</t>
  </si>
  <si>
    <t xml:space="preserve">M4 Nylon Insert Lock Nut</t>
  </si>
  <si>
    <t xml:space="preserve">NYLOC-M5</t>
  </si>
  <si>
    <t xml:space="preserve">M5 Nylon Insert Lock Nut</t>
  </si>
  <si>
    <t xml:space="preserve">TNUT-M3-ROLL</t>
  </si>
  <si>
    <t xml:space="preserve">Roll-In T-Nut</t>
  </si>
  <si>
    <t xml:space="preserve">M3 Roll-In Spring T-Nut (2020)</t>
  </si>
  <si>
    <t xml:space="preserve">Carbon Steel Zn</t>
  </si>
  <si>
    <t xml:space="preserve">AliExpress/Domestic</t>
  </si>
  <si>
    <t xml:space="preserve">Voron BOM (140!) - high demand</t>
  </si>
  <si>
    <t xml:space="preserve">TNUT-M3-HAMM</t>
  </si>
  <si>
    <t xml:space="preserve">Hammer T-Nut</t>
  </si>
  <si>
    <t xml:space="preserve">M3 Hammer Head T-Nut (2020)</t>
  </si>
  <si>
    <t xml:space="preserve">Voron BOM (67)</t>
  </si>
  <si>
    <t xml:space="preserve">TNUT-M5-ROLL</t>
  </si>
  <si>
    <t xml:space="preserve">M5 Roll-In Spring T-Nut (2020)</t>
  </si>
  <si>
    <t xml:space="preserve">Voron BOM (81)</t>
  </si>
  <si>
    <t xml:space="preserve">TNUT-M5-HAMM</t>
  </si>
  <si>
    <t xml:space="preserve">M5 Hammer Head T-Nut (2020)</t>
  </si>
  <si>
    <t xml:space="preserve">WASH-M2</t>
  </si>
  <si>
    <t xml:space="preserve">Washers</t>
  </si>
  <si>
    <t xml:space="preserve">Flat Washer</t>
  </si>
  <si>
    <t xml:space="preserve">M2 Flat Washer</t>
  </si>
  <si>
    <t xml:space="preserve">WASH-M25</t>
  </si>
  <si>
    <t xml:space="preserve">M2.5 Flat Washer</t>
  </si>
  <si>
    <t xml:space="preserve">WASH-M3</t>
  </si>
  <si>
    <t xml:space="preserve">M3 Flat Washer</t>
  </si>
  <si>
    <t xml:space="preserve">WASH-M4</t>
  </si>
  <si>
    <t xml:space="preserve">M4 Flat Washer</t>
  </si>
  <si>
    <t xml:space="preserve">WASH-M5</t>
  </si>
  <si>
    <t xml:space="preserve">M5 Flat Washer</t>
  </si>
  <si>
    <t xml:space="preserve">SPLIT-M3</t>
  </si>
  <si>
    <t xml:space="preserve">Split Lock Washer</t>
  </si>
  <si>
    <t xml:space="preserve">M3 Split Lock Washer</t>
  </si>
  <si>
    <t xml:space="preserve">SPLIT-M5</t>
  </si>
  <si>
    <t xml:space="preserve">M5 Split Lock Washer</t>
  </si>
  <si>
    <t xml:space="preserve">SHIM-M5-1</t>
  </si>
  <si>
    <t xml:space="preserve">Shim</t>
  </si>
  <si>
    <t xml:space="preserve">M5 x 1mm Shim Ring</t>
  </si>
  <si>
    <t xml:space="preserve">HSI-M2-3x3</t>
  </si>
  <si>
    <t xml:space="preserve">Inserts</t>
  </si>
  <si>
    <t xml:space="preserve">Heat-Set Insert</t>
  </si>
  <si>
    <t xml:space="preserve">3DP, Elec</t>
  </si>
  <si>
    <t xml:space="preserve">M2 x 3mm x 3.2mm Heat-Set Insert</t>
  </si>
  <si>
    <t xml:space="preserve">Brass</t>
  </si>
  <si>
    <t xml:space="preserve">CNC Kitchen / Vector3D</t>
  </si>
  <si>
    <t xml:space="preserve">Small enclosures</t>
  </si>
  <si>
    <t xml:space="preserve">HSI-M3-5x4</t>
  </si>
  <si>
    <t xml:space="preserve">M3 x 5mm x 4mm Heat-Set Insert (Voron)</t>
  </si>
  <si>
    <t xml:space="preserve">Voron standard - highest demand insert</t>
  </si>
  <si>
    <t xml:space="preserve">HSI-M3-5x4-S</t>
  </si>
  <si>
    <t xml:space="preserve">M3 x 5mm x 4mm Heat-Set Insert (Short/Standard)</t>
  </si>
  <si>
    <t xml:space="preserve">General 3DP use</t>
  </si>
  <si>
    <t xml:space="preserve">HSI-M4-6x5</t>
  </si>
  <si>
    <t xml:space="preserve">M4 x 6mm x 5.6mm Heat-Set Insert</t>
  </si>
  <si>
    <t xml:space="preserve">Larger enclosures</t>
  </si>
  <si>
    <t xml:space="preserve">HSI-M5-7x7</t>
  </si>
  <si>
    <t xml:space="preserve">M5 x 7mm x 7mm Heat-Set Insert</t>
  </si>
  <si>
    <t xml:space="preserve">Heavy-duty prints</t>
  </si>
  <si>
    <t xml:space="preserve">STD-M25-6-MF</t>
  </si>
  <si>
    <t xml:space="preserve">Standoffs</t>
  </si>
  <si>
    <t xml:space="preserve">Metal Standoff</t>
  </si>
  <si>
    <t xml:space="preserve">M2.5 x 6mm Hex Standoff M-F</t>
  </si>
  <si>
    <t xml:space="preserve">Brass Nickel</t>
  </si>
  <si>
    <t xml:space="preserve">Pi standard height</t>
  </si>
  <si>
    <t xml:space="preserve">STD-M25-11-MF</t>
  </si>
  <si>
    <t xml:space="preserve">M2.5 x 11mm Hex Standoff M-F</t>
  </si>
  <si>
    <t xml:space="preserve">Pi HAT stacking</t>
  </si>
  <si>
    <t xml:space="preserve">STD-M3-6-MF</t>
  </si>
  <si>
    <t xml:space="preserve">Drone, Elec, 3DP</t>
  </si>
  <si>
    <t xml:space="preserve">M3 x 6mm Hex Standoff M-F</t>
  </si>
  <si>
    <t xml:space="preserve">Aluminum</t>
  </si>
  <si>
    <t xml:space="preserve">STD-M3-10-MF</t>
  </si>
  <si>
    <t xml:space="preserve">M3 x 10mm Hex Standoff M-F</t>
  </si>
  <si>
    <t xml:space="preserve">FC stack standard</t>
  </si>
  <si>
    <t xml:space="preserve">STD-M3-20-FF</t>
  </si>
  <si>
    <t xml:space="preserve">M3 x 20mm Hex Standoff F-F</t>
  </si>
  <si>
    <t xml:space="preserve">Drone FC stack</t>
  </si>
  <si>
    <t xml:space="preserve">STD-M3-25-FF</t>
  </si>
  <si>
    <t xml:space="preserve">M3 x 25mm Hex Standoff F-F</t>
  </si>
  <si>
    <t xml:space="preserve">Drone FC stack tall</t>
  </si>
  <si>
    <t xml:space="preserve">STD-M3-30-FF</t>
  </si>
  <si>
    <t xml:space="preserve">M3 x 30mm Hex Standoff F-F</t>
  </si>
  <si>
    <t xml:space="preserve">NSTD-M25-6-MF</t>
  </si>
  <si>
    <t xml:space="preserve">Nylon Standoff</t>
  </si>
  <si>
    <t xml:space="preserve">M2.5 x 6mm Nylon Standoff M-F</t>
  </si>
  <si>
    <t xml:space="preserve">Nylon (Black)</t>
  </si>
  <si>
    <t xml:space="preserve">Non-conductive Pi mount</t>
  </si>
  <si>
    <t xml:space="preserve">NSTD-M25-11-MF</t>
  </si>
  <si>
    <t xml:space="preserve">M2.5 x 11mm Nylon Standoff M-F</t>
  </si>
  <si>
    <t xml:space="preserve">NSTD-M3-6-MF</t>
  </si>
  <si>
    <t xml:space="preserve">M3 x 6mm Nylon Standoff M-F</t>
  </si>
  <si>
    <t xml:space="preserve">PCB mounting</t>
  </si>
  <si>
    <t xml:space="preserve">NSTD-M3-10-MF</t>
  </si>
  <si>
    <t xml:space="preserve">M3 x 10mm Nylon Standoff M-F</t>
  </si>
  <si>
    <t xml:space="preserve">NSTD-M3-15-MF</t>
  </si>
  <si>
    <t xml:space="preserve">M3 x 15mm Nylon Standoff M-F</t>
  </si>
  <si>
    <t xml:space="preserve">NSCR-M25-6</t>
  </si>
  <si>
    <t xml:space="preserve">Nylon Screw</t>
  </si>
  <si>
    <t xml:space="preserve">M2.5 x 6mm Nylon Pan Head Screw</t>
  </si>
  <si>
    <t xml:space="preserve">Non-conductive</t>
  </si>
  <si>
    <t xml:space="preserve">NSCR-M3-6</t>
  </si>
  <si>
    <t xml:space="preserve">M3 x 6mm Nylon Pan Head Screw</t>
  </si>
  <si>
    <t xml:space="preserve">NSCR-M3-10</t>
  </si>
  <si>
    <t xml:space="preserve">M3 x 10mm Nylon Pan Head Screw</t>
  </si>
  <si>
    <t xml:space="preserve">NNUT-M25</t>
  </si>
  <si>
    <t xml:space="preserve">Nylon Nut</t>
  </si>
  <si>
    <t xml:space="preserve">M2.5 Nylon Hex Nut</t>
  </si>
  <si>
    <t xml:space="preserve">NNUT-M3</t>
  </si>
  <si>
    <t xml:space="preserve">M3 Nylon Hex Nut</t>
  </si>
  <si>
    <t xml:space="preserve">PRESS-M3</t>
  </si>
  <si>
    <t xml:space="preserve">Press Nut</t>
  </si>
  <si>
    <t xml:space="preserve">M3 Press-In Nut for Carbon Fiber</t>
  </si>
  <si>
    <t xml:space="preserve">Steel Zn</t>
  </si>
  <si>
    <t xml:space="preserve">Pyrodrone / RDQ</t>
  </si>
  <si>
    <t xml:space="preserve">FPV carbon frame specific</t>
  </si>
  <si>
    <t xml:space="preserve">SET-M3-3</t>
  </si>
  <si>
    <t xml:space="preserve">Set Screw</t>
  </si>
  <si>
    <t xml:space="preserve">M3 x 3mm Set Screw (Grub)</t>
  </si>
  <si>
    <t xml:space="preserve">Voron drive pulleys</t>
  </si>
  <si>
    <t xml:space="preserve">SET-M3-5</t>
  </si>
  <si>
    <t xml:space="preserve">M3 x 5mm Set Screw (Grub)</t>
  </si>
  <si>
    <t xml:space="preserve">SET-M4-4</t>
  </si>
  <si>
    <t xml:space="preserve">M4 x 4mm Set Screw (Grub)</t>
  </si>
  <si>
    <t xml:space="preserve">THUMB-M3-8</t>
  </si>
  <si>
    <t xml:space="preserve">Thumb Screw</t>
  </si>
  <si>
    <t xml:space="preserve">M3 x 8mm Knurled Thumb Screw</t>
  </si>
  <si>
    <t xml:space="preserve">Hand</t>
  </si>
  <si>
    <t xml:space="preserve">Bed leveling, quick-release</t>
  </si>
  <si>
    <t xml:space="preserve">THUMB-M4-6</t>
  </si>
  <si>
    <t xml:space="preserve">M4 x 6mm Knurled Thumb Screw</t>
  </si>
  <si>
    <t xml:space="preserve">Voron knurled nuts (BOM)</t>
  </si>
  <si>
    <t xml:space="preserve">DOWEL-M3-16</t>
  </si>
  <si>
    <t xml:space="preserve">Pins</t>
  </si>
  <si>
    <t xml:space="preserve">Dowel Pin</t>
  </si>
  <si>
    <t xml:space="preserve">3mm x 16mm Dowel Pin</t>
  </si>
  <si>
    <t xml:space="preserve">3mm</t>
  </si>
  <si>
    <t xml:space="preserve">Voron Z-alignment</t>
  </si>
  <si>
    <t xml:space="preserve">DOWEL-M5-40</t>
  </si>
  <si>
    <t xml:space="preserve">5mm x 40mm Dowel Pin</t>
  </si>
  <si>
    <t xml:space="preserve">5mm</t>
  </si>
  <si>
    <t xml:space="preserve">SPRNG-M3-6x20</t>
  </si>
  <si>
    <t xml:space="preserve">Springs</t>
  </si>
  <si>
    <t xml:space="preserve">Compression Spring</t>
  </si>
  <si>
    <t xml:space="preserve">Spring 6mm OD x 20mm (fits M3)</t>
  </si>
  <si>
    <t xml:space="preserve">Steel</t>
  </si>
  <si>
    <t xml:space="preserve">Bed leveling springs</t>
  </si>
  <si>
    <t xml:space="preserve">Item</t>
  </si>
  <si>
    <t xml:space="preserve">Est. Cost ($)</t>
  </si>
  <si>
    <t xml:space="preserve">Inventory: Screws (SHCS + BHCS + CSK + misc)</t>
  </si>
  <si>
    <t xml:space="preserve">Inventory</t>
  </si>
  <si>
    <t xml:space="preserve">Pulled from Inventory sheet</t>
  </si>
  <si>
    <t xml:space="preserve">Inventory: Nuts (hex, nyloc, T-nuts, press)</t>
  </si>
  <si>
    <t xml:space="preserve">Inventory: Washers &amp; Shims</t>
  </si>
  <si>
    <t xml:space="preserve">Inventory: Heat-Set Inserts</t>
  </si>
  <si>
    <t xml:space="preserve">Inventory: Standoffs (metal + nylon)</t>
  </si>
  <si>
    <t xml:space="preserve">Inventory: Nylon hardware</t>
  </si>
  <si>
    <t xml:space="preserve">Inventory: Misc (set screws, thumbs, pins, springs)</t>
  </si>
  <si>
    <t xml:space="preserve">Small parts organizer bins (Akro-Mils style)</t>
  </si>
  <si>
    <t xml:space="preserve">Equipment</t>
  </si>
  <si>
    <t xml:space="preserve">Fits 100+ SKUs</t>
  </si>
  <si>
    <t xml:space="preserve">Label maker + labels</t>
  </si>
  <si>
    <t xml:space="preserve">Brother P-Touch or similar</t>
  </si>
  <si>
    <t xml:space="preserve">Postal scale (USB)</t>
  </si>
  <si>
    <t xml:space="preserve">Accurate to 0.1 oz</t>
  </si>
  <si>
    <t xml:space="preserve">Poly bags (1000 assorted)</t>
  </si>
  <si>
    <t xml:space="preserve">Supplies</t>
  </si>
  <si>
    <t xml:space="preserve">2x3, 3x5, 4x6 sizes</t>
  </si>
  <si>
    <t xml:space="preserve">Bubble mailers (200)</t>
  </si>
  <si>
    <t xml:space="preserve">#000 and #00 sizes</t>
  </si>
  <si>
    <t xml:space="preserve">Thermal label printer</t>
  </si>
  <si>
    <t xml:space="preserve">Shipping labels - optional, can print at home</t>
  </si>
  <si>
    <t xml:space="preserve">Domain name (.com)</t>
  </si>
  <si>
    <t xml:space="preserve">Website</t>
  </si>
  <si>
    <t xml:space="preserve">Annual cost</t>
  </si>
  <si>
    <t xml:space="preserve">Business license</t>
  </si>
  <si>
    <t xml:space="preserve">Legal</t>
  </si>
  <si>
    <t xml:space="preserve">Varies by state/county</t>
  </si>
  <si>
    <t xml:space="preserve">TOTAL STARTUP COST</t>
  </si>
  <si>
    <t xml:space="preserve">Kit Name</t>
  </si>
  <si>
    <t xml:space="preserve">Component SKU</t>
  </si>
  <si>
    <t xml:space="preserve">Qty</t>
  </si>
  <si>
    <t xml:space="preserve">Unit Cost ($)</t>
  </si>
  <si>
    <t xml:space="preserve">Line Cost ($)</t>
  </si>
  <si>
    <t xml:space="preserve">Suggested Price ($)</t>
  </si>
  <si>
    <t xml:space="preserve">Kit Margin ($)</t>
  </si>
  <si>
    <t xml:space="preserve">Kit Margin (%)</t>
  </si>
  <si>
    <t xml:space="preserve">Voron 2.4 Essentials Kit</t>
  </si>
  <si>
    <t xml:space="preserve">VORON KIT TOTAL</t>
  </si>
  <si>
    <t xml:space="preserve">FPV 5" Quad Hardware Kit</t>
  </si>
  <si>
    <t xml:space="preserve">FPV KIT TOTAL</t>
  </si>
  <si>
    <t xml:space="preserve">Raspberry Pi Mounting Kit</t>
  </si>
  <si>
    <t xml:space="preserve">PI KIT TOTAL</t>
  </si>
  <si>
    <t xml:space="preserve">Arduino / PCB Mounting Kit</t>
  </si>
  <si>
    <t xml:space="preserve">ARDUINO KIT TOTAL</t>
  </si>
  <si>
    <t xml:space="preserve">Min Order</t>
  </si>
  <si>
    <t xml:space="preserve">Ship Time</t>
  </si>
  <si>
    <t xml:space="preserve">monsterbolts.com</t>
  </si>
  <si>
    <t xml:space="preserve">$200 bulk</t>
  </si>
  <si>
    <t xml:space="preserve">3-5 days</t>
  </si>
  <si>
    <t xml:space="preserve">Best bulk pricing on metric SHCS. Domestic.</t>
  </si>
  <si>
    <t xml:space="preserve">Albany County Fasteners</t>
  </si>
  <si>
    <t xml:space="preserve">albanycountyfasteners.com</t>
  </si>
  <si>
    <t xml:space="preserve">No minimum</t>
  </si>
  <si>
    <t xml:space="preserve">Good per-piece pricing for button head, standoffs. Domestic.</t>
  </si>
  <si>
    <t xml:space="preserve">Bolt Depot</t>
  </si>
  <si>
    <t xml:space="preserve">boltdepot.com</t>
  </si>
  <si>
    <t xml:space="preserve">2-4 days</t>
  </si>
  <si>
    <t xml:space="preserve">Competitor, but useful for fill-in orders of sizes you don't stock.</t>
  </si>
  <si>
    <t xml:space="preserve">cnckitchen.store / vector3d.shop</t>
  </si>
  <si>
    <t xml:space="preserve">5-10 days</t>
  </si>
  <si>
    <t xml:space="preserve">Heat-set inserts. CNC Kitchen = gold standard brand.</t>
  </si>
  <si>
    <t xml:space="preserve">Pyrodrone / RaceDayQuads</t>
  </si>
  <si>
    <t xml:space="preserve">pyrodrone.com / racedayquads.com</t>
  </si>
  <si>
    <t xml:space="preserve">Press nuts, drone-specific hardware. Higher per-piece cost.</t>
  </si>
  <si>
    <t xml:space="preserve">AliExpress (various)</t>
  </si>
  <si>
    <t xml:space="preserve">aliexpress.com</t>
  </si>
  <si>
    <t xml:space="preserve">Usually 100+</t>
  </si>
  <si>
    <t xml:space="preserve">14-30 days</t>
  </si>
  <si>
    <t xml:space="preserve">T-nuts, nylon standoffs, springs. TEST QUALITY before stocking.</t>
  </si>
  <si>
    <t xml:space="preserve">McMaster-Carr</t>
  </si>
  <si>
    <t xml:space="preserve">mcmaster.com</t>
  </si>
  <si>
    <t xml:space="preserve">1-2 days</t>
  </si>
  <si>
    <t xml:space="preserve">Emergency restocking only. Price too high for bulk.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</si>
</sst>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0;&quot;($&quot;#,##0.000\);\-"/>
    <numFmt numFmtId="166" formatCode="0.0\x"/>
    <numFmt numFmtId="167" formatCode="0.0%"/>
    <numFmt numFmtId="168" formatCode="\$#,##0.00;&quot;(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7FA"/>
        <bgColor rgb="FFEBF1F8"/>
      </patternFill>
    </fill>
    <fill>
      <patternFill patternType="solid">
        <fgColor rgb="FFEBF1F8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EB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6" min="14" style="0" width="10"/>
    <col collapsed="false" customWidth="true" hidden="false" outlineLevel="0" max="17" min="17" style="0" width="12"/>
    <col collapsed="false" customWidth="true" hidden="false" outlineLevel="0" max="18" min="18" style="0" width="22"/>
    <col collapsed="false" customWidth="true" hidden="false" outlineLevel="0" max="19" min="19" style="0" width="2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n">
        <v>4</v>
      </c>
      <c r="I2" s="2" t="s">
        <v>26</v>
      </c>
      <c r="J2" s="3" t="n">
        <v>500</v>
      </c>
      <c r="K2" s="3" t="n">
        <v>5.5</v>
      </c>
      <c r="L2" s="4" t="n">
        <f aca="false">K2/J2</f>
        <v>0.011</v>
      </c>
      <c r="M2" s="3" t="n">
        <v>0.08</v>
      </c>
      <c r="N2" s="5" t="n">
        <f aca="false">IF(L2&gt;0,M2/L2,"-")</f>
        <v>7.27272727272727</v>
      </c>
      <c r="O2" s="6" t="n">
        <f aca="false">IF(M2&gt;0,(M2-L2)/M2,"-")</f>
        <v>0.8625</v>
      </c>
      <c r="P2" s="2" t="n">
        <v>5</v>
      </c>
      <c r="Q2" s="2" t="n">
        <v>50</v>
      </c>
      <c r="R2" s="2" t="s">
        <v>27</v>
      </c>
      <c r="S2" s="2" t="s">
        <v>28</v>
      </c>
    </row>
    <row r="3" customFormat="false" ht="15" hidden="false" customHeight="false" outlineLevel="0" collapsed="false">
      <c r="A3" s="7" t="s">
        <v>29</v>
      </c>
      <c r="B3" s="7" t="s">
        <v>20</v>
      </c>
      <c r="C3" s="7" t="s">
        <v>21</v>
      </c>
      <c r="D3" s="7" t="s">
        <v>22</v>
      </c>
      <c r="E3" s="7" t="s">
        <v>30</v>
      </c>
      <c r="F3" s="7" t="s">
        <v>24</v>
      </c>
      <c r="G3" s="7" t="s">
        <v>25</v>
      </c>
      <c r="H3" s="7" t="n">
        <v>6</v>
      </c>
      <c r="I3" s="7" t="s">
        <v>26</v>
      </c>
      <c r="J3" s="8" t="n">
        <v>500</v>
      </c>
      <c r="K3" s="8" t="n">
        <v>5.5</v>
      </c>
      <c r="L3" s="9" t="n">
        <f aca="false">K3/J3</f>
        <v>0.011</v>
      </c>
      <c r="M3" s="8" t="n">
        <v>0.08</v>
      </c>
      <c r="N3" s="10" t="n">
        <f aca="false">IF(L3&gt;0,M3/L3,"-")</f>
        <v>7.27272727272727</v>
      </c>
      <c r="O3" s="11" t="n">
        <f aca="false">IF(M3&gt;0,(M3-L3)/M3,"-")</f>
        <v>0.8625</v>
      </c>
      <c r="P3" s="7" t="n">
        <v>5</v>
      </c>
      <c r="Q3" s="7" t="n">
        <v>50</v>
      </c>
      <c r="R3" s="7" t="s">
        <v>27</v>
      </c>
      <c r="S3" s="7" t="s">
        <v>31</v>
      </c>
    </row>
    <row r="4" customFormat="false" ht="15" hidden="false" customHeight="false" outlineLevel="0" collapsed="false">
      <c r="A4" s="2" t="s">
        <v>32</v>
      </c>
      <c r="B4" s="2" t="s">
        <v>20</v>
      </c>
      <c r="C4" s="2" t="s">
        <v>21</v>
      </c>
      <c r="D4" s="2" t="s">
        <v>22</v>
      </c>
      <c r="E4" s="2" t="s">
        <v>33</v>
      </c>
      <c r="F4" s="2" t="s">
        <v>24</v>
      </c>
      <c r="G4" s="2" t="s">
        <v>25</v>
      </c>
      <c r="H4" s="2" t="n">
        <v>8</v>
      </c>
      <c r="I4" s="2" t="s">
        <v>26</v>
      </c>
      <c r="J4" s="3" t="n">
        <v>500</v>
      </c>
      <c r="K4" s="3" t="n">
        <v>5.75</v>
      </c>
      <c r="L4" s="4" t="n">
        <f aca="false">K4/J4</f>
        <v>0.0115</v>
      </c>
      <c r="M4" s="3" t="n">
        <v>0.08</v>
      </c>
      <c r="N4" s="5" t="n">
        <f aca="false">IF(L4&gt;0,M4/L4,"-")</f>
        <v>6.95652173913044</v>
      </c>
      <c r="O4" s="6" t="n">
        <f aca="false">IF(M4&gt;0,(M4-L4)/M4,"-")</f>
        <v>0.85625</v>
      </c>
      <c r="P4" s="2" t="n">
        <v>5</v>
      </c>
      <c r="Q4" s="2" t="n">
        <v>50</v>
      </c>
      <c r="R4" s="2" t="s">
        <v>27</v>
      </c>
      <c r="S4" s="2" t="s">
        <v>34</v>
      </c>
    </row>
    <row r="5" customFormat="false" ht="15" hidden="false" customHeight="false" outlineLevel="0" collapsed="false">
      <c r="A5" s="7" t="s">
        <v>35</v>
      </c>
      <c r="B5" s="7" t="s">
        <v>20</v>
      </c>
      <c r="C5" s="7" t="s">
        <v>21</v>
      </c>
      <c r="D5" s="7" t="s">
        <v>22</v>
      </c>
      <c r="E5" s="7" t="s">
        <v>36</v>
      </c>
      <c r="F5" s="7" t="s">
        <v>24</v>
      </c>
      <c r="G5" s="7" t="s">
        <v>25</v>
      </c>
      <c r="H5" s="7" t="n">
        <v>10</v>
      </c>
      <c r="I5" s="7" t="s">
        <v>26</v>
      </c>
      <c r="J5" s="8" t="n">
        <v>500</v>
      </c>
      <c r="K5" s="8" t="n">
        <v>5.75</v>
      </c>
      <c r="L5" s="9" t="n">
        <f aca="false">K5/J5</f>
        <v>0.0115</v>
      </c>
      <c r="M5" s="8" t="n">
        <v>0.08</v>
      </c>
      <c r="N5" s="10" t="n">
        <f aca="false">IF(L5&gt;0,M5/L5,"-")</f>
        <v>6.95652173913044</v>
      </c>
      <c r="O5" s="11" t="n">
        <f aca="false">IF(M5&gt;0,(M5-L5)/M5,"-")</f>
        <v>0.85625</v>
      </c>
      <c r="P5" s="7" t="n">
        <v>5</v>
      </c>
      <c r="Q5" s="7" t="n">
        <v>50</v>
      </c>
      <c r="R5" s="7" t="s">
        <v>27</v>
      </c>
      <c r="S5" s="7"/>
    </row>
    <row r="6" customFormat="false" ht="15" hidden="false" customHeight="false" outlineLevel="0" collapsed="false">
      <c r="A6" s="2" t="s">
        <v>37</v>
      </c>
      <c r="B6" s="2" t="s">
        <v>20</v>
      </c>
      <c r="C6" s="2" t="s">
        <v>21</v>
      </c>
      <c r="D6" s="2" t="s">
        <v>38</v>
      </c>
      <c r="E6" s="2" t="s">
        <v>39</v>
      </c>
      <c r="F6" s="2" t="s">
        <v>24</v>
      </c>
      <c r="G6" s="2" t="s">
        <v>25</v>
      </c>
      <c r="H6" s="2" t="n">
        <v>12</v>
      </c>
      <c r="I6" s="2" t="s">
        <v>26</v>
      </c>
      <c r="J6" s="3" t="n">
        <v>500</v>
      </c>
      <c r="K6" s="3" t="n">
        <v>6</v>
      </c>
      <c r="L6" s="4" t="n">
        <f aca="false">K6/J6</f>
        <v>0.012</v>
      </c>
      <c r="M6" s="3" t="n">
        <v>0.08</v>
      </c>
      <c r="N6" s="5" t="n">
        <f aca="false">IF(L6&gt;0,M6/L6,"-")</f>
        <v>6.66666666666667</v>
      </c>
      <c r="O6" s="6" t="n">
        <f aca="false">IF(M6&gt;0,(M6-L6)/M6,"-")</f>
        <v>0.85</v>
      </c>
      <c r="P6" s="2" t="n">
        <v>5</v>
      </c>
      <c r="Q6" s="2" t="n">
        <v>50</v>
      </c>
      <c r="R6" s="2" t="s">
        <v>27</v>
      </c>
      <c r="S6" s="2" t="s">
        <v>40</v>
      </c>
    </row>
    <row r="7" customFormat="false" ht="15" hidden="false" customHeight="false" outlineLevel="0" collapsed="false">
      <c r="A7" s="7" t="s">
        <v>41</v>
      </c>
      <c r="B7" s="7" t="s">
        <v>20</v>
      </c>
      <c r="C7" s="7" t="s">
        <v>21</v>
      </c>
      <c r="D7" s="7" t="s">
        <v>42</v>
      </c>
      <c r="E7" s="7" t="s">
        <v>43</v>
      </c>
      <c r="F7" s="7" t="s">
        <v>24</v>
      </c>
      <c r="G7" s="7" t="s">
        <v>44</v>
      </c>
      <c r="H7" s="7" t="n">
        <v>6</v>
      </c>
      <c r="I7" s="7" t="s">
        <v>45</v>
      </c>
      <c r="J7" s="8" t="n">
        <v>500</v>
      </c>
      <c r="K7" s="8" t="n">
        <v>5.75</v>
      </c>
      <c r="L7" s="9" t="n">
        <f aca="false">K7/J7</f>
        <v>0.0115</v>
      </c>
      <c r="M7" s="8" t="n">
        <v>0.08</v>
      </c>
      <c r="N7" s="10" t="n">
        <f aca="false">IF(L7&gt;0,M7/L7,"-")</f>
        <v>6.95652173913044</v>
      </c>
      <c r="O7" s="11" t="n">
        <f aca="false">IF(M7&gt;0,(M7-L7)/M7,"-")</f>
        <v>0.85625</v>
      </c>
      <c r="P7" s="7" t="n">
        <v>5</v>
      </c>
      <c r="Q7" s="7" t="n">
        <v>50</v>
      </c>
      <c r="R7" s="7" t="s">
        <v>27</v>
      </c>
      <c r="S7" s="7" t="s">
        <v>46</v>
      </c>
    </row>
    <row r="8" customFormat="false" ht="15" hidden="false" customHeight="false" outlineLevel="0" collapsed="false">
      <c r="A8" s="2" t="s">
        <v>47</v>
      </c>
      <c r="B8" s="2" t="s">
        <v>20</v>
      </c>
      <c r="C8" s="2" t="s">
        <v>21</v>
      </c>
      <c r="D8" s="2" t="s">
        <v>42</v>
      </c>
      <c r="E8" s="2" t="s">
        <v>48</v>
      </c>
      <c r="F8" s="2" t="s">
        <v>24</v>
      </c>
      <c r="G8" s="2" t="s">
        <v>44</v>
      </c>
      <c r="H8" s="2" t="n">
        <v>8</v>
      </c>
      <c r="I8" s="2" t="s">
        <v>45</v>
      </c>
      <c r="J8" s="3" t="n">
        <v>500</v>
      </c>
      <c r="K8" s="3" t="n">
        <v>5.75</v>
      </c>
      <c r="L8" s="4" t="n">
        <f aca="false">K8/J8</f>
        <v>0.0115</v>
      </c>
      <c r="M8" s="3" t="n">
        <v>0.08</v>
      </c>
      <c r="N8" s="5" t="n">
        <f aca="false">IF(L8&gt;0,M8/L8,"-")</f>
        <v>6.95652173913044</v>
      </c>
      <c r="O8" s="6" t="n">
        <f aca="false">IF(M8&gt;0,(M8-L8)/M8,"-")</f>
        <v>0.85625</v>
      </c>
      <c r="P8" s="2" t="n">
        <v>5</v>
      </c>
      <c r="Q8" s="2" t="n">
        <v>50</v>
      </c>
      <c r="R8" s="2" t="s">
        <v>27</v>
      </c>
      <c r="S8" s="2" t="s">
        <v>49</v>
      </c>
    </row>
    <row r="9" customFormat="false" ht="15" hidden="false" customHeight="false" outlineLevel="0" collapsed="false">
      <c r="A9" s="7" t="s">
        <v>50</v>
      </c>
      <c r="B9" s="7" t="s">
        <v>20</v>
      </c>
      <c r="C9" s="7" t="s">
        <v>21</v>
      </c>
      <c r="D9" s="7" t="s">
        <v>42</v>
      </c>
      <c r="E9" s="7" t="s">
        <v>51</v>
      </c>
      <c r="F9" s="7" t="s">
        <v>24</v>
      </c>
      <c r="G9" s="7" t="s">
        <v>44</v>
      </c>
      <c r="H9" s="7" t="n">
        <v>10</v>
      </c>
      <c r="I9" s="7" t="s">
        <v>45</v>
      </c>
      <c r="J9" s="8" t="n">
        <v>500</v>
      </c>
      <c r="K9" s="8" t="n">
        <v>6</v>
      </c>
      <c r="L9" s="9" t="n">
        <f aca="false">K9/J9</f>
        <v>0.012</v>
      </c>
      <c r="M9" s="8" t="n">
        <v>0.08</v>
      </c>
      <c r="N9" s="10" t="n">
        <f aca="false">IF(L9&gt;0,M9/L9,"-")</f>
        <v>6.66666666666667</v>
      </c>
      <c r="O9" s="11" t="n">
        <f aca="false">IF(M9&gt;0,(M9-L9)/M9,"-")</f>
        <v>0.85</v>
      </c>
      <c r="P9" s="7" t="n">
        <v>5</v>
      </c>
      <c r="Q9" s="7" t="n">
        <v>50</v>
      </c>
      <c r="R9" s="7" t="s">
        <v>27</v>
      </c>
      <c r="S9" s="7"/>
    </row>
    <row r="10" customFormat="false" ht="15" hidden="false" customHeight="false" outlineLevel="0" collapsed="false">
      <c r="A10" s="2" t="s">
        <v>52</v>
      </c>
      <c r="B10" s="2" t="s">
        <v>20</v>
      </c>
      <c r="C10" s="2" t="s">
        <v>21</v>
      </c>
      <c r="D10" s="2" t="s">
        <v>42</v>
      </c>
      <c r="E10" s="2" t="s">
        <v>53</v>
      </c>
      <c r="F10" s="2" t="s">
        <v>24</v>
      </c>
      <c r="G10" s="2" t="s">
        <v>44</v>
      </c>
      <c r="H10" s="2" t="n">
        <v>12</v>
      </c>
      <c r="I10" s="2" t="s">
        <v>45</v>
      </c>
      <c r="J10" s="3" t="n">
        <v>500</v>
      </c>
      <c r="K10" s="3" t="n">
        <v>6</v>
      </c>
      <c r="L10" s="4" t="n">
        <f aca="false">K10/J10</f>
        <v>0.012</v>
      </c>
      <c r="M10" s="3" t="n">
        <v>0.08</v>
      </c>
      <c r="N10" s="5" t="n">
        <f aca="false">IF(L10&gt;0,M10/L10,"-")</f>
        <v>6.66666666666667</v>
      </c>
      <c r="O10" s="6" t="n">
        <f aca="false">IF(M10&gt;0,(M10-L10)/M10,"-")</f>
        <v>0.85</v>
      </c>
      <c r="P10" s="2" t="n">
        <v>5</v>
      </c>
      <c r="Q10" s="2" t="n">
        <v>50</v>
      </c>
      <c r="R10" s="2" t="s">
        <v>27</v>
      </c>
      <c r="S10" s="2"/>
    </row>
    <row r="11" customFormat="false" ht="15" hidden="false" customHeight="false" outlineLevel="0" collapsed="false">
      <c r="A11" s="7" t="s">
        <v>54</v>
      </c>
      <c r="B11" s="7" t="s">
        <v>20</v>
      </c>
      <c r="C11" s="7" t="s">
        <v>21</v>
      </c>
      <c r="D11" s="7" t="s">
        <v>55</v>
      </c>
      <c r="E11" s="7" t="s">
        <v>56</v>
      </c>
      <c r="F11" s="7" t="s">
        <v>24</v>
      </c>
      <c r="G11" s="7" t="s">
        <v>57</v>
      </c>
      <c r="H11" s="7" t="n">
        <v>6</v>
      </c>
      <c r="I11" s="7" t="s">
        <v>58</v>
      </c>
      <c r="J11" s="8" t="n">
        <v>1000</v>
      </c>
      <c r="K11" s="8" t="n">
        <v>9.5</v>
      </c>
      <c r="L11" s="9" t="n">
        <f aca="false">K11/J11</f>
        <v>0.0095</v>
      </c>
      <c r="M11" s="8" t="n">
        <v>0.06</v>
      </c>
      <c r="N11" s="10" t="n">
        <f aca="false">IF(L11&gt;0,M11/L11,"-")</f>
        <v>6.31578947368421</v>
      </c>
      <c r="O11" s="11" t="n">
        <f aca="false">IF(M11&gt;0,(M11-L11)/M11,"-")</f>
        <v>0.841666666666667</v>
      </c>
      <c r="P11" s="7" t="n">
        <v>5</v>
      </c>
      <c r="Q11" s="7" t="n">
        <v>100</v>
      </c>
      <c r="R11" s="7" t="s">
        <v>27</v>
      </c>
      <c r="S11" s="7" t="s">
        <v>59</v>
      </c>
    </row>
    <row r="12" customFormat="false" ht="15" hidden="false" customHeight="false" outlineLevel="0" collapsed="false">
      <c r="A12" s="2" t="s">
        <v>60</v>
      </c>
      <c r="B12" s="2" t="s">
        <v>20</v>
      </c>
      <c r="C12" s="2" t="s">
        <v>21</v>
      </c>
      <c r="D12" s="2" t="s">
        <v>55</v>
      </c>
      <c r="E12" s="2" t="s">
        <v>61</v>
      </c>
      <c r="F12" s="2" t="s">
        <v>24</v>
      </c>
      <c r="G12" s="2" t="s">
        <v>57</v>
      </c>
      <c r="H12" s="2" t="n">
        <v>8</v>
      </c>
      <c r="I12" s="2" t="s">
        <v>58</v>
      </c>
      <c r="J12" s="3" t="n">
        <v>1000</v>
      </c>
      <c r="K12" s="3" t="n">
        <v>9.5</v>
      </c>
      <c r="L12" s="4" t="n">
        <f aca="false">K12/J12</f>
        <v>0.0095</v>
      </c>
      <c r="M12" s="3" t="n">
        <v>0.06</v>
      </c>
      <c r="N12" s="5" t="n">
        <f aca="false">IF(L12&gt;0,M12/L12,"-")</f>
        <v>6.31578947368421</v>
      </c>
      <c r="O12" s="6" t="n">
        <f aca="false">IF(M12&gt;0,(M12-L12)/M12,"-")</f>
        <v>0.841666666666667</v>
      </c>
      <c r="P12" s="2" t="n">
        <v>5</v>
      </c>
      <c r="Q12" s="2" t="n">
        <v>100</v>
      </c>
      <c r="R12" s="2" t="s">
        <v>27</v>
      </c>
      <c r="S12" s="2" t="s">
        <v>62</v>
      </c>
    </row>
    <row r="13" customFormat="false" ht="15" hidden="false" customHeight="false" outlineLevel="0" collapsed="false">
      <c r="A13" s="7" t="s">
        <v>63</v>
      </c>
      <c r="B13" s="7" t="s">
        <v>20</v>
      </c>
      <c r="C13" s="7" t="s">
        <v>21</v>
      </c>
      <c r="D13" s="7" t="s">
        <v>55</v>
      </c>
      <c r="E13" s="7" t="s">
        <v>64</v>
      </c>
      <c r="F13" s="7" t="s">
        <v>24</v>
      </c>
      <c r="G13" s="7" t="s">
        <v>57</v>
      </c>
      <c r="H13" s="7" t="n">
        <v>10</v>
      </c>
      <c r="I13" s="7" t="s">
        <v>58</v>
      </c>
      <c r="J13" s="8" t="n">
        <v>1000</v>
      </c>
      <c r="K13" s="8" t="n">
        <v>9.75</v>
      </c>
      <c r="L13" s="9" t="n">
        <f aca="false">K13/J13</f>
        <v>0.00975</v>
      </c>
      <c r="M13" s="8" t="n">
        <v>0.06</v>
      </c>
      <c r="N13" s="10" t="n">
        <f aca="false">IF(L13&gt;0,M13/L13,"-")</f>
        <v>6.15384615384615</v>
      </c>
      <c r="O13" s="11" t="n">
        <f aca="false">IF(M13&gt;0,(M13-L13)/M13,"-")</f>
        <v>0.8375</v>
      </c>
      <c r="P13" s="7" t="n">
        <v>5</v>
      </c>
      <c r="Q13" s="7" t="n">
        <v>100</v>
      </c>
      <c r="R13" s="7" t="s">
        <v>27</v>
      </c>
      <c r="S13" s="7" t="s">
        <v>65</v>
      </c>
    </row>
    <row r="14" customFormat="false" ht="15" hidden="false" customHeight="false" outlineLevel="0" collapsed="false">
      <c r="A14" s="2" t="s">
        <v>66</v>
      </c>
      <c r="B14" s="2" t="s">
        <v>20</v>
      </c>
      <c r="C14" s="2" t="s">
        <v>21</v>
      </c>
      <c r="D14" s="2" t="s">
        <v>55</v>
      </c>
      <c r="E14" s="2" t="s">
        <v>67</v>
      </c>
      <c r="F14" s="2" t="s">
        <v>24</v>
      </c>
      <c r="G14" s="2" t="s">
        <v>57</v>
      </c>
      <c r="H14" s="2" t="n">
        <v>12</v>
      </c>
      <c r="I14" s="2" t="s">
        <v>58</v>
      </c>
      <c r="J14" s="3" t="n">
        <v>1000</v>
      </c>
      <c r="K14" s="3" t="n">
        <v>10</v>
      </c>
      <c r="L14" s="4" t="n">
        <f aca="false">K14/J14</f>
        <v>0.01</v>
      </c>
      <c r="M14" s="3" t="n">
        <v>0.07</v>
      </c>
      <c r="N14" s="5" t="n">
        <f aca="false">IF(L14&gt;0,M14/L14,"-")</f>
        <v>7</v>
      </c>
      <c r="O14" s="6" t="n">
        <f aca="false">IF(M14&gt;0,(M14-L14)/M14,"-")</f>
        <v>0.857142857142857</v>
      </c>
      <c r="P14" s="2" t="n">
        <v>5</v>
      </c>
      <c r="Q14" s="2" t="n">
        <v>100</v>
      </c>
      <c r="R14" s="2" t="s">
        <v>27</v>
      </c>
      <c r="S14" s="2" t="s">
        <v>68</v>
      </c>
    </row>
    <row r="15" customFormat="false" ht="15" hidden="false" customHeight="false" outlineLevel="0" collapsed="false">
      <c r="A15" s="7" t="s">
        <v>69</v>
      </c>
      <c r="B15" s="7" t="s">
        <v>20</v>
      </c>
      <c r="C15" s="7" t="s">
        <v>21</v>
      </c>
      <c r="D15" s="7" t="s">
        <v>70</v>
      </c>
      <c r="E15" s="7" t="s">
        <v>71</v>
      </c>
      <c r="F15" s="7" t="s">
        <v>24</v>
      </c>
      <c r="G15" s="7" t="s">
        <v>57</v>
      </c>
      <c r="H15" s="7" t="n">
        <v>16</v>
      </c>
      <c r="I15" s="7" t="s">
        <v>58</v>
      </c>
      <c r="J15" s="8" t="n">
        <v>500</v>
      </c>
      <c r="K15" s="8" t="n">
        <v>6</v>
      </c>
      <c r="L15" s="9" t="n">
        <f aca="false">K15/J15</f>
        <v>0.012</v>
      </c>
      <c r="M15" s="8" t="n">
        <v>0.07</v>
      </c>
      <c r="N15" s="10" t="n">
        <f aca="false">IF(L15&gt;0,M15/L15,"-")</f>
        <v>5.83333333333333</v>
      </c>
      <c r="O15" s="11" t="n">
        <f aca="false">IF(M15&gt;0,(M15-L15)/M15,"-")</f>
        <v>0.828571428571429</v>
      </c>
      <c r="P15" s="7" t="n">
        <v>5</v>
      </c>
      <c r="Q15" s="7" t="n">
        <v>50</v>
      </c>
      <c r="R15" s="7" t="s">
        <v>27</v>
      </c>
      <c r="S15" s="7"/>
    </row>
    <row r="16" customFormat="false" ht="15" hidden="false" customHeight="false" outlineLevel="0" collapsed="false">
      <c r="A16" s="2" t="s">
        <v>72</v>
      </c>
      <c r="B16" s="2" t="s">
        <v>20</v>
      </c>
      <c r="C16" s="2" t="s">
        <v>21</v>
      </c>
      <c r="D16" s="2" t="s">
        <v>70</v>
      </c>
      <c r="E16" s="2" t="s">
        <v>73</v>
      </c>
      <c r="F16" s="2" t="s">
        <v>24</v>
      </c>
      <c r="G16" s="2" t="s">
        <v>57</v>
      </c>
      <c r="H16" s="2" t="n">
        <v>20</v>
      </c>
      <c r="I16" s="2" t="s">
        <v>58</v>
      </c>
      <c r="J16" s="3" t="n">
        <v>500</v>
      </c>
      <c r="K16" s="3" t="n">
        <v>6.5</v>
      </c>
      <c r="L16" s="4" t="n">
        <f aca="false">K16/J16</f>
        <v>0.013</v>
      </c>
      <c r="M16" s="3" t="n">
        <v>0.08</v>
      </c>
      <c r="N16" s="5" t="n">
        <f aca="false">IF(L16&gt;0,M16/L16,"-")</f>
        <v>6.15384615384615</v>
      </c>
      <c r="O16" s="6" t="n">
        <f aca="false">IF(M16&gt;0,(M16-L16)/M16,"-")</f>
        <v>0.8375</v>
      </c>
      <c r="P16" s="2" t="n">
        <v>5</v>
      </c>
      <c r="Q16" s="2" t="n">
        <v>50</v>
      </c>
      <c r="R16" s="2" t="s">
        <v>27</v>
      </c>
      <c r="S16" s="2" t="s">
        <v>74</v>
      </c>
    </row>
    <row r="17" customFormat="false" ht="15" hidden="false" customHeight="false" outlineLevel="0" collapsed="false">
      <c r="A17" s="7" t="s">
        <v>75</v>
      </c>
      <c r="B17" s="7" t="s">
        <v>20</v>
      </c>
      <c r="C17" s="7" t="s">
        <v>21</v>
      </c>
      <c r="D17" s="7" t="s">
        <v>70</v>
      </c>
      <c r="E17" s="7" t="s">
        <v>76</v>
      </c>
      <c r="F17" s="7" t="s">
        <v>24</v>
      </c>
      <c r="G17" s="7" t="s">
        <v>57</v>
      </c>
      <c r="H17" s="7" t="n">
        <v>25</v>
      </c>
      <c r="I17" s="7" t="s">
        <v>58</v>
      </c>
      <c r="J17" s="8" t="n">
        <v>500</v>
      </c>
      <c r="K17" s="8" t="n">
        <v>7</v>
      </c>
      <c r="L17" s="9" t="n">
        <f aca="false">K17/J17</f>
        <v>0.014</v>
      </c>
      <c r="M17" s="8" t="n">
        <v>0.09</v>
      </c>
      <c r="N17" s="10" t="n">
        <f aca="false">IF(L17&gt;0,M17/L17,"-")</f>
        <v>6.42857142857143</v>
      </c>
      <c r="O17" s="11" t="n">
        <f aca="false">IF(M17&gt;0,(M17-L17)/M17,"-")</f>
        <v>0.844444444444444</v>
      </c>
      <c r="P17" s="7" t="n">
        <v>5</v>
      </c>
      <c r="Q17" s="7" t="n">
        <v>50</v>
      </c>
      <c r="R17" s="7" t="s">
        <v>27</v>
      </c>
      <c r="S17" s="7"/>
    </row>
    <row r="18" customFormat="false" ht="15" hidden="false" customHeight="false" outlineLevel="0" collapsed="false">
      <c r="A18" s="2" t="s">
        <v>77</v>
      </c>
      <c r="B18" s="2" t="s">
        <v>20</v>
      </c>
      <c r="C18" s="2" t="s">
        <v>21</v>
      </c>
      <c r="D18" s="2" t="s">
        <v>70</v>
      </c>
      <c r="E18" s="2" t="s">
        <v>78</v>
      </c>
      <c r="F18" s="2" t="s">
        <v>24</v>
      </c>
      <c r="G18" s="2" t="s">
        <v>57</v>
      </c>
      <c r="H18" s="2" t="n">
        <v>30</v>
      </c>
      <c r="I18" s="2" t="s">
        <v>58</v>
      </c>
      <c r="J18" s="3" t="n">
        <v>500</v>
      </c>
      <c r="K18" s="3" t="n">
        <v>7.5</v>
      </c>
      <c r="L18" s="4" t="n">
        <f aca="false">K18/J18</f>
        <v>0.015</v>
      </c>
      <c r="M18" s="3" t="n">
        <v>0.1</v>
      </c>
      <c r="N18" s="5" t="n">
        <f aca="false">IF(L18&gt;0,M18/L18,"-")</f>
        <v>6.66666666666667</v>
      </c>
      <c r="O18" s="6" t="n">
        <f aca="false">IF(M18&gt;0,(M18-L18)/M18,"-")</f>
        <v>0.85</v>
      </c>
      <c r="P18" s="2" t="n">
        <v>5</v>
      </c>
      <c r="Q18" s="2" t="n">
        <v>50</v>
      </c>
      <c r="R18" s="2" t="s">
        <v>27</v>
      </c>
      <c r="S18" s="2" t="s">
        <v>68</v>
      </c>
    </row>
    <row r="19" customFormat="false" ht="15" hidden="false" customHeight="false" outlineLevel="0" collapsed="false">
      <c r="A19" s="7" t="s">
        <v>79</v>
      </c>
      <c r="B19" s="7" t="s">
        <v>20</v>
      </c>
      <c r="C19" s="7" t="s">
        <v>21</v>
      </c>
      <c r="D19" s="7" t="s">
        <v>70</v>
      </c>
      <c r="E19" s="7" t="s">
        <v>80</v>
      </c>
      <c r="F19" s="7" t="s">
        <v>24</v>
      </c>
      <c r="G19" s="7" t="s">
        <v>57</v>
      </c>
      <c r="H19" s="7" t="n">
        <v>35</v>
      </c>
      <c r="I19" s="7" t="s">
        <v>58</v>
      </c>
      <c r="J19" s="8" t="n">
        <v>250</v>
      </c>
      <c r="K19" s="8" t="n">
        <v>4.5</v>
      </c>
      <c r="L19" s="9" t="n">
        <f aca="false">K19/J19</f>
        <v>0.018</v>
      </c>
      <c r="M19" s="8" t="n">
        <v>0.12</v>
      </c>
      <c r="N19" s="10" t="n">
        <f aca="false">IF(L19&gt;0,M19/L19,"-")</f>
        <v>6.66666666666667</v>
      </c>
      <c r="O19" s="11" t="n">
        <f aca="false">IF(M19&gt;0,(M19-L19)/M19,"-")</f>
        <v>0.85</v>
      </c>
      <c r="P19" s="7" t="n">
        <v>5</v>
      </c>
      <c r="Q19" s="7" t="n">
        <v>25</v>
      </c>
      <c r="R19" s="7" t="s">
        <v>27</v>
      </c>
      <c r="S19" s="7"/>
    </row>
    <row r="20" customFormat="false" ht="15" hidden="false" customHeight="false" outlineLevel="0" collapsed="false">
      <c r="A20" s="2" t="s">
        <v>81</v>
      </c>
      <c r="B20" s="2" t="s">
        <v>20</v>
      </c>
      <c r="C20" s="2" t="s">
        <v>21</v>
      </c>
      <c r="D20" s="2" t="s">
        <v>70</v>
      </c>
      <c r="E20" s="2" t="s">
        <v>82</v>
      </c>
      <c r="F20" s="2" t="s">
        <v>24</v>
      </c>
      <c r="G20" s="2" t="s">
        <v>57</v>
      </c>
      <c r="H20" s="2" t="n">
        <v>40</v>
      </c>
      <c r="I20" s="2" t="s">
        <v>58</v>
      </c>
      <c r="J20" s="3" t="n">
        <v>250</v>
      </c>
      <c r="K20" s="3" t="n">
        <v>5</v>
      </c>
      <c r="L20" s="4" t="n">
        <f aca="false">K20/J20</f>
        <v>0.02</v>
      </c>
      <c r="M20" s="3" t="n">
        <v>0.12</v>
      </c>
      <c r="N20" s="5" t="n">
        <f aca="false">IF(L20&gt;0,M20/L20,"-")</f>
        <v>6</v>
      </c>
      <c r="O20" s="6" t="n">
        <f aca="false">IF(M20&gt;0,(M20-L20)/M20,"-")</f>
        <v>0.833333333333333</v>
      </c>
      <c r="P20" s="2" t="n">
        <v>5</v>
      </c>
      <c r="Q20" s="2" t="n">
        <v>25</v>
      </c>
      <c r="R20" s="2" t="s">
        <v>27</v>
      </c>
      <c r="S20" s="2" t="s">
        <v>68</v>
      </c>
    </row>
    <row r="21" customFormat="false" ht="15" hidden="false" customHeight="false" outlineLevel="0" collapsed="false">
      <c r="A21" s="7" t="s">
        <v>83</v>
      </c>
      <c r="B21" s="7" t="s">
        <v>20</v>
      </c>
      <c r="C21" s="7" t="s">
        <v>21</v>
      </c>
      <c r="D21" s="7" t="s">
        <v>70</v>
      </c>
      <c r="E21" s="7" t="s">
        <v>84</v>
      </c>
      <c r="F21" s="7" t="s">
        <v>24</v>
      </c>
      <c r="G21" s="7" t="s">
        <v>85</v>
      </c>
      <c r="H21" s="7" t="n">
        <v>6</v>
      </c>
      <c r="I21" s="7" t="s">
        <v>86</v>
      </c>
      <c r="J21" s="8" t="n">
        <v>500</v>
      </c>
      <c r="K21" s="8" t="n">
        <v>7.5</v>
      </c>
      <c r="L21" s="9" t="n">
        <f aca="false">K21/J21</f>
        <v>0.015</v>
      </c>
      <c r="M21" s="8" t="n">
        <v>0.08</v>
      </c>
      <c r="N21" s="10" t="n">
        <f aca="false">IF(L21&gt;0,M21/L21,"-")</f>
        <v>5.33333333333333</v>
      </c>
      <c r="O21" s="11" t="n">
        <f aca="false">IF(M21&gt;0,(M21-L21)/M21,"-")</f>
        <v>0.8125</v>
      </c>
      <c r="P21" s="7" t="n">
        <v>5</v>
      </c>
      <c r="Q21" s="7" t="n">
        <v>50</v>
      </c>
      <c r="R21" s="7" t="s">
        <v>27</v>
      </c>
      <c r="S21" s="7"/>
    </row>
    <row r="22" customFormat="false" ht="15" hidden="false" customHeight="false" outlineLevel="0" collapsed="false">
      <c r="A22" s="2" t="s">
        <v>87</v>
      </c>
      <c r="B22" s="2" t="s">
        <v>20</v>
      </c>
      <c r="C22" s="2" t="s">
        <v>21</v>
      </c>
      <c r="D22" s="2" t="s">
        <v>70</v>
      </c>
      <c r="E22" s="2" t="s">
        <v>88</v>
      </c>
      <c r="F22" s="2" t="s">
        <v>24</v>
      </c>
      <c r="G22" s="2" t="s">
        <v>85</v>
      </c>
      <c r="H22" s="2" t="n">
        <v>10</v>
      </c>
      <c r="I22" s="2" t="s">
        <v>86</v>
      </c>
      <c r="J22" s="3" t="n">
        <v>500</v>
      </c>
      <c r="K22" s="3" t="n">
        <v>8</v>
      </c>
      <c r="L22" s="4" t="n">
        <f aca="false">K22/J22</f>
        <v>0.016</v>
      </c>
      <c r="M22" s="3" t="n">
        <v>0.08</v>
      </c>
      <c r="N22" s="5" t="n">
        <f aca="false">IF(L22&gt;0,M22/L22,"-")</f>
        <v>5</v>
      </c>
      <c r="O22" s="6" t="n">
        <f aca="false">IF(M22&gt;0,(M22-L22)/M22,"-")</f>
        <v>0.8</v>
      </c>
      <c r="P22" s="2" t="n">
        <v>5</v>
      </c>
      <c r="Q22" s="2" t="n">
        <v>50</v>
      </c>
      <c r="R22" s="2" t="s">
        <v>27</v>
      </c>
      <c r="S22" s="2"/>
    </row>
    <row r="23" customFormat="false" ht="15" hidden="false" customHeight="false" outlineLevel="0" collapsed="false">
      <c r="A23" s="7" t="s">
        <v>89</v>
      </c>
      <c r="B23" s="7" t="s">
        <v>20</v>
      </c>
      <c r="C23" s="7" t="s">
        <v>21</v>
      </c>
      <c r="D23" s="7" t="s">
        <v>70</v>
      </c>
      <c r="E23" s="7" t="s">
        <v>90</v>
      </c>
      <c r="F23" s="7" t="s">
        <v>24</v>
      </c>
      <c r="G23" s="7" t="s">
        <v>85</v>
      </c>
      <c r="H23" s="7" t="n">
        <v>16</v>
      </c>
      <c r="I23" s="7" t="s">
        <v>86</v>
      </c>
      <c r="J23" s="8" t="n">
        <v>500</v>
      </c>
      <c r="K23" s="8" t="n">
        <v>8.5</v>
      </c>
      <c r="L23" s="9" t="n">
        <f aca="false">K23/J23</f>
        <v>0.017</v>
      </c>
      <c r="M23" s="8" t="n">
        <v>0.1</v>
      </c>
      <c r="N23" s="10" t="n">
        <f aca="false">IF(L23&gt;0,M23/L23,"-")</f>
        <v>5.88235294117647</v>
      </c>
      <c r="O23" s="11" t="n">
        <f aca="false">IF(M23&gt;0,(M23-L23)/M23,"-")</f>
        <v>0.83</v>
      </c>
      <c r="P23" s="7" t="n">
        <v>5</v>
      </c>
      <c r="Q23" s="7" t="n">
        <v>50</v>
      </c>
      <c r="R23" s="7" t="s">
        <v>27</v>
      </c>
      <c r="S23" s="7"/>
    </row>
    <row r="24" customFormat="false" ht="15" hidden="false" customHeight="false" outlineLevel="0" collapsed="false">
      <c r="A24" s="2" t="s">
        <v>91</v>
      </c>
      <c r="B24" s="2" t="s">
        <v>20</v>
      </c>
      <c r="C24" s="2" t="s">
        <v>21</v>
      </c>
      <c r="D24" s="2" t="s">
        <v>70</v>
      </c>
      <c r="E24" s="2" t="s">
        <v>92</v>
      </c>
      <c r="F24" s="2" t="s">
        <v>24</v>
      </c>
      <c r="G24" s="2" t="s">
        <v>93</v>
      </c>
      <c r="H24" s="2" t="n">
        <v>10</v>
      </c>
      <c r="I24" s="2" t="s">
        <v>94</v>
      </c>
      <c r="J24" s="3" t="n">
        <v>500</v>
      </c>
      <c r="K24" s="3" t="n">
        <v>9</v>
      </c>
      <c r="L24" s="4" t="n">
        <f aca="false">K24/J24</f>
        <v>0.018</v>
      </c>
      <c r="M24" s="3" t="n">
        <v>0.1</v>
      </c>
      <c r="N24" s="5" t="n">
        <f aca="false">IF(L24&gt;0,M24/L24,"-")</f>
        <v>5.55555555555556</v>
      </c>
      <c r="O24" s="6" t="n">
        <f aca="false">IF(M24&gt;0,(M24-L24)/M24,"-")</f>
        <v>0.82</v>
      </c>
      <c r="P24" s="2" t="n">
        <v>5</v>
      </c>
      <c r="Q24" s="2" t="n">
        <v>50</v>
      </c>
      <c r="R24" s="2" t="s">
        <v>27</v>
      </c>
      <c r="S24" s="2" t="s">
        <v>95</v>
      </c>
    </row>
    <row r="25" customFormat="false" ht="15" hidden="false" customHeight="false" outlineLevel="0" collapsed="false">
      <c r="A25" s="7" t="s">
        <v>96</v>
      </c>
      <c r="B25" s="7" t="s">
        <v>20</v>
      </c>
      <c r="C25" s="7" t="s">
        <v>21</v>
      </c>
      <c r="D25" s="7" t="s">
        <v>70</v>
      </c>
      <c r="E25" s="7" t="s">
        <v>97</v>
      </c>
      <c r="F25" s="7" t="s">
        <v>24</v>
      </c>
      <c r="G25" s="7" t="s">
        <v>93</v>
      </c>
      <c r="H25" s="7" t="n">
        <v>16</v>
      </c>
      <c r="I25" s="7" t="s">
        <v>94</v>
      </c>
      <c r="J25" s="8" t="n">
        <v>500</v>
      </c>
      <c r="K25" s="8" t="n">
        <v>9.5</v>
      </c>
      <c r="L25" s="9" t="n">
        <f aca="false">K25/J25</f>
        <v>0.019</v>
      </c>
      <c r="M25" s="8" t="n">
        <v>0.12</v>
      </c>
      <c r="N25" s="10" t="n">
        <f aca="false">IF(L25&gt;0,M25/L25,"-")</f>
        <v>6.31578947368421</v>
      </c>
      <c r="O25" s="11" t="n">
        <f aca="false">IF(M25&gt;0,(M25-L25)/M25,"-")</f>
        <v>0.841666666666667</v>
      </c>
      <c r="P25" s="7" t="n">
        <v>5</v>
      </c>
      <c r="Q25" s="7" t="n">
        <v>50</v>
      </c>
      <c r="R25" s="7" t="s">
        <v>27</v>
      </c>
      <c r="S25" s="7" t="s">
        <v>98</v>
      </c>
    </row>
    <row r="26" customFormat="false" ht="15" hidden="false" customHeight="false" outlineLevel="0" collapsed="false">
      <c r="A26" s="2" t="s">
        <v>99</v>
      </c>
      <c r="B26" s="2" t="s">
        <v>20</v>
      </c>
      <c r="C26" s="2" t="s">
        <v>21</v>
      </c>
      <c r="D26" s="2" t="s">
        <v>70</v>
      </c>
      <c r="E26" s="2" t="s">
        <v>100</v>
      </c>
      <c r="F26" s="2" t="s">
        <v>24</v>
      </c>
      <c r="G26" s="2" t="s">
        <v>93</v>
      </c>
      <c r="H26" s="2" t="n">
        <v>25</v>
      </c>
      <c r="I26" s="2" t="s">
        <v>94</v>
      </c>
      <c r="J26" s="3" t="n">
        <v>250</v>
      </c>
      <c r="K26" s="3" t="n">
        <v>6</v>
      </c>
      <c r="L26" s="4" t="n">
        <f aca="false">K26/J26</f>
        <v>0.024</v>
      </c>
      <c r="M26" s="3" t="n">
        <v>0.14</v>
      </c>
      <c r="N26" s="5" t="n">
        <f aca="false">IF(L26&gt;0,M26/L26,"-")</f>
        <v>5.83333333333333</v>
      </c>
      <c r="O26" s="6" t="n">
        <f aca="false">IF(M26&gt;0,(M26-L26)/M26,"-")</f>
        <v>0.828571428571429</v>
      </c>
      <c r="P26" s="2" t="n">
        <v>5</v>
      </c>
      <c r="Q26" s="2" t="n">
        <v>25</v>
      </c>
      <c r="R26" s="2" t="s">
        <v>27</v>
      </c>
      <c r="S26" s="2"/>
    </row>
    <row r="27" customFormat="false" ht="15" hidden="false" customHeight="false" outlineLevel="0" collapsed="false">
      <c r="A27" s="7" t="s">
        <v>101</v>
      </c>
      <c r="B27" s="7" t="s">
        <v>20</v>
      </c>
      <c r="C27" s="7" t="s">
        <v>21</v>
      </c>
      <c r="D27" s="7" t="s">
        <v>70</v>
      </c>
      <c r="E27" s="7" t="s">
        <v>102</v>
      </c>
      <c r="F27" s="7" t="s">
        <v>24</v>
      </c>
      <c r="G27" s="7" t="s">
        <v>93</v>
      </c>
      <c r="H27" s="7" t="n">
        <v>30</v>
      </c>
      <c r="I27" s="7" t="s">
        <v>94</v>
      </c>
      <c r="J27" s="8" t="n">
        <v>250</v>
      </c>
      <c r="K27" s="8" t="n">
        <v>6.5</v>
      </c>
      <c r="L27" s="9" t="n">
        <f aca="false">K27/J27</f>
        <v>0.026</v>
      </c>
      <c r="M27" s="8" t="n">
        <v>0.15</v>
      </c>
      <c r="N27" s="10" t="n">
        <f aca="false">IF(L27&gt;0,M27/L27,"-")</f>
        <v>5.76923076923077</v>
      </c>
      <c r="O27" s="11" t="n">
        <f aca="false">IF(M27&gt;0,(M27-L27)/M27,"-")</f>
        <v>0.826666666666667</v>
      </c>
      <c r="P27" s="7" t="n">
        <v>5</v>
      </c>
      <c r="Q27" s="7" t="n">
        <v>25</v>
      </c>
      <c r="R27" s="7" t="s">
        <v>27</v>
      </c>
      <c r="S27" s="7" t="s">
        <v>103</v>
      </c>
    </row>
    <row r="28" customFormat="false" ht="15" hidden="false" customHeight="false" outlineLevel="0" collapsed="false">
      <c r="A28" s="2" t="s">
        <v>104</v>
      </c>
      <c r="B28" s="2" t="s">
        <v>20</v>
      </c>
      <c r="C28" s="2" t="s">
        <v>21</v>
      </c>
      <c r="D28" s="2" t="s">
        <v>70</v>
      </c>
      <c r="E28" s="2" t="s">
        <v>105</v>
      </c>
      <c r="F28" s="2" t="s">
        <v>24</v>
      </c>
      <c r="G28" s="2" t="s">
        <v>93</v>
      </c>
      <c r="H28" s="2" t="n">
        <v>40</v>
      </c>
      <c r="I28" s="2" t="s">
        <v>94</v>
      </c>
      <c r="J28" s="3" t="n">
        <v>250</v>
      </c>
      <c r="K28" s="3" t="n">
        <v>7.5</v>
      </c>
      <c r="L28" s="4" t="n">
        <f aca="false">K28/J28</f>
        <v>0.03</v>
      </c>
      <c r="M28" s="3" t="n">
        <v>0.18</v>
      </c>
      <c r="N28" s="5" t="n">
        <f aca="false">IF(L28&gt;0,M28/L28,"-")</f>
        <v>6</v>
      </c>
      <c r="O28" s="6" t="n">
        <f aca="false">IF(M28&gt;0,(M28-L28)/M28,"-")</f>
        <v>0.833333333333333</v>
      </c>
      <c r="P28" s="2" t="n">
        <v>5</v>
      </c>
      <c r="Q28" s="2" t="n">
        <v>25</v>
      </c>
      <c r="R28" s="2" t="s">
        <v>27</v>
      </c>
      <c r="S28" s="2" t="s">
        <v>106</v>
      </c>
    </row>
    <row r="29" customFormat="false" ht="15" hidden="false" customHeight="false" outlineLevel="0" collapsed="false">
      <c r="A29" s="7" t="s">
        <v>107</v>
      </c>
      <c r="B29" s="7" t="s">
        <v>20</v>
      </c>
      <c r="C29" s="7" t="s">
        <v>108</v>
      </c>
      <c r="D29" s="7" t="s">
        <v>55</v>
      </c>
      <c r="E29" s="7" t="s">
        <v>109</v>
      </c>
      <c r="F29" s="7" t="s">
        <v>24</v>
      </c>
      <c r="G29" s="7" t="s">
        <v>57</v>
      </c>
      <c r="H29" s="7" t="n">
        <v>6</v>
      </c>
      <c r="I29" s="7" t="s">
        <v>45</v>
      </c>
      <c r="J29" s="8" t="n">
        <v>500</v>
      </c>
      <c r="K29" s="8" t="n">
        <v>5.5</v>
      </c>
      <c r="L29" s="9" t="n">
        <f aca="false">K29/J29</f>
        <v>0.011</v>
      </c>
      <c r="M29" s="8" t="n">
        <v>0.06</v>
      </c>
      <c r="N29" s="10" t="n">
        <f aca="false">IF(L29&gt;0,M29/L29,"-")</f>
        <v>5.45454545454546</v>
      </c>
      <c r="O29" s="11" t="n">
        <f aca="false">IF(M29&gt;0,(M29-L29)/M29,"-")</f>
        <v>0.816666666666667</v>
      </c>
      <c r="P29" s="7" t="n">
        <v>5</v>
      </c>
      <c r="Q29" s="7" t="n">
        <v>50</v>
      </c>
      <c r="R29" s="7" t="s">
        <v>110</v>
      </c>
      <c r="S29" s="7" t="s">
        <v>111</v>
      </c>
    </row>
    <row r="30" customFormat="false" ht="15" hidden="false" customHeight="false" outlineLevel="0" collapsed="false">
      <c r="A30" s="2" t="s">
        <v>112</v>
      </c>
      <c r="B30" s="2" t="s">
        <v>20</v>
      </c>
      <c r="C30" s="2" t="s">
        <v>108</v>
      </c>
      <c r="D30" s="2" t="s">
        <v>55</v>
      </c>
      <c r="E30" s="2" t="s">
        <v>113</v>
      </c>
      <c r="F30" s="2" t="s">
        <v>24</v>
      </c>
      <c r="G30" s="2" t="s">
        <v>57</v>
      </c>
      <c r="H30" s="2" t="n">
        <v>8</v>
      </c>
      <c r="I30" s="2" t="s">
        <v>45</v>
      </c>
      <c r="J30" s="3" t="n">
        <v>500</v>
      </c>
      <c r="K30" s="3" t="n">
        <v>5.75</v>
      </c>
      <c r="L30" s="4" t="n">
        <f aca="false">K30/J30</f>
        <v>0.0115</v>
      </c>
      <c r="M30" s="3" t="n">
        <v>0.07</v>
      </c>
      <c r="N30" s="5" t="n">
        <f aca="false">IF(L30&gt;0,M30/L30,"-")</f>
        <v>6.08695652173913</v>
      </c>
      <c r="O30" s="6" t="n">
        <f aca="false">IF(M30&gt;0,(M30-L30)/M30,"-")</f>
        <v>0.835714285714286</v>
      </c>
      <c r="P30" s="2" t="n">
        <v>5</v>
      </c>
      <c r="Q30" s="2" t="n">
        <v>50</v>
      </c>
      <c r="R30" s="2" t="s">
        <v>110</v>
      </c>
      <c r="S30" s="2" t="s">
        <v>114</v>
      </c>
    </row>
    <row r="31" customFormat="false" ht="15" hidden="false" customHeight="false" outlineLevel="0" collapsed="false">
      <c r="A31" s="7" t="s">
        <v>115</v>
      </c>
      <c r="B31" s="7" t="s">
        <v>20</v>
      </c>
      <c r="C31" s="7" t="s">
        <v>108</v>
      </c>
      <c r="D31" s="7" t="s">
        <v>55</v>
      </c>
      <c r="E31" s="7" t="s">
        <v>116</v>
      </c>
      <c r="F31" s="7" t="s">
        <v>24</v>
      </c>
      <c r="G31" s="7" t="s">
        <v>57</v>
      </c>
      <c r="H31" s="7" t="n">
        <v>10</v>
      </c>
      <c r="I31" s="7" t="s">
        <v>45</v>
      </c>
      <c r="J31" s="8" t="n">
        <v>500</v>
      </c>
      <c r="K31" s="8" t="n">
        <v>6</v>
      </c>
      <c r="L31" s="9" t="n">
        <f aca="false">K31/J31</f>
        <v>0.012</v>
      </c>
      <c r="M31" s="8" t="n">
        <v>0.07</v>
      </c>
      <c r="N31" s="10" t="n">
        <f aca="false">IF(L31&gt;0,M31/L31,"-")</f>
        <v>5.83333333333333</v>
      </c>
      <c r="O31" s="11" t="n">
        <f aca="false">IF(M31&gt;0,(M31-L31)/M31,"-")</f>
        <v>0.828571428571429</v>
      </c>
      <c r="P31" s="7" t="n">
        <v>5</v>
      </c>
      <c r="Q31" s="7" t="n">
        <v>50</v>
      </c>
      <c r="R31" s="7" t="s">
        <v>110</v>
      </c>
      <c r="S31" s="7" t="s">
        <v>117</v>
      </c>
    </row>
    <row r="32" customFormat="false" ht="15" hidden="false" customHeight="false" outlineLevel="0" collapsed="false">
      <c r="A32" s="2" t="s">
        <v>118</v>
      </c>
      <c r="B32" s="2" t="s">
        <v>20</v>
      </c>
      <c r="C32" s="2" t="s">
        <v>108</v>
      </c>
      <c r="D32" s="2" t="s">
        <v>55</v>
      </c>
      <c r="E32" s="2" t="s">
        <v>119</v>
      </c>
      <c r="F32" s="2" t="s">
        <v>24</v>
      </c>
      <c r="G32" s="2" t="s">
        <v>57</v>
      </c>
      <c r="H32" s="2" t="n">
        <v>12</v>
      </c>
      <c r="I32" s="2" t="s">
        <v>45</v>
      </c>
      <c r="J32" s="3" t="n">
        <v>500</v>
      </c>
      <c r="K32" s="3" t="n">
        <v>6.25</v>
      </c>
      <c r="L32" s="4" t="n">
        <f aca="false">K32/J32</f>
        <v>0.0125</v>
      </c>
      <c r="M32" s="3" t="n">
        <v>0.08</v>
      </c>
      <c r="N32" s="5" t="n">
        <f aca="false">IF(L32&gt;0,M32/L32,"-")</f>
        <v>6.4</v>
      </c>
      <c r="O32" s="6" t="n">
        <f aca="false">IF(M32&gt;0,(M32-L32)/M32,"-")</f>
        <v>0.84375</v>
      </c>
      <c r="P32" s="2" t="n">
        <v>5</v>
      </c>
      <c r="Q32" s="2" t="n">
        <v>50</v>
      </c>
      <c r="R32" s="2" t="s">
        <v>110</v>
      </c>
      <c r="S32" s="2"/>
    </row>
    <row r="33" customFormat="false" ht="15" hidden="false" customHeight="false" outlineLevel="0" collapsed="false">
      <c r="A33" s="7" t="s">
        <v>120</v>
      </c>
      <c r="B33" s="7" t="s">
        <v>20</v>
      </c>
      <c r="C33" s="7" t="s">
        <v>108</v>
      </c>
      <c r="D33" s="7" t="s">
        <v>70</v>
      </c>
      <c r="E33" s="7" t="s">
        <v>121</v>
      </c>
      <c r="F33" s="7" t="s">
        <v>24</v>
      </c>
      <c r="G33" s="7" t="s">
        <v>57</v>
      </c>
      <c r="H33" s="7" t="n">
        <v>16</v>
      </c>
      <c r="I33" s="7" t="s">
        <v>45</v>
      </c>
      <c r="J33" s="8" t="n">
        <v>250</v>
      </c>
      <c r="K33" s="8" t="n">
        <v>3.75</v>
      </c>
      <c r="L33" s="9" t="n">
        <f aca="false">K33/J33</f>
        <v>0.015</v>
      </c>
      <c r="M33" s="8" t="n">
        <v>0.09</v>
      </c>
      <c r="N33" s="10" t="n">
        <f aca="false">IF(L33&gt;0,M33/L33,"-")</f>
        <v>6</v>
      </c>
      <c r="O33" s="11" t="n">
        <f aca="false">IF(M33&gt;0,(M33-L33)/M33,"-")</f>
        <v>0.833333333333333</v>
      </c>
      <c r="P33" s="7" t="n">
        <v>5</v>
      </c>
      <c r="Q33" s="7" t="n">
        <v>25</v>
      </c>
      <c r="R33" s="7" t="s">
        <v>110</v>
      </c>
      <c r="S33" s="7"/>
    </row>
    <row r="34" customFormat="false" ht="15" hidden="false" customHeight="false" outlineLevel="0" collapsed="false">
      <c r="A34" s="2" t="s">
        <v>122</v>
      </c>
      <c r="B34" s="2" t="s">
        <v>20</v>
      </c>
      <c r="C34" s="2" t="s">
        <v>108</v>
      </c>
      <c r="D34" s="2" t="s">
        <v>70</v>
      </c>
      <c r="E34" s="2" t="s">
        <v>123</v>
      </c>
      <c r="F34" s="2" t="s">
        <v>24</v>
      </c>
      <c r="G34" s="2" t="s">
        <v>85</v>
      </c>
      <c r="H34" s="2" t="n">
        <v>6</v>
      </c>
      <c r="I34" s="2" t="s">
        <v>58</v>
      </c>
      <c r="J34" s="3" t="n">
        <v>500</v>
      </c>
      <c r="K34" s="3" t="n">
        <v>6.5</v>
      </c>
      <c r="L34" s="4" t="n">
        <f aca="false">K34/J34</f>
        <v>0.013</v>
      </c>
      <c r="M34" s="3" t="n">
        <v>0.08</v>
      </c>
      <c r="N34" s="5" t="n">
        <f aca="false">IF(L34&gt;0,M34/L34,"-")</f>
        <v>6.15384615384615</v>
      </c>
      <c r="O34" s="6" t="n">
        <f aca="false">IF(M34&gt;0,(M34-L34)/M34,"-")</f>
        <v>0.8375</v>
      </c>
      <c r="P34" s="2" t="n">
        <v>5</v>
      </c>
      <c r="Q34" s="2" t="n">
        <v>50</v>
      </c>
      <c r="R34" s="2" t="s">
        <v>110</v>
      </c>
      <c r="S34" s="2" t="s">
        <v>124</v>
      </c>
    </row>
    <row r="35" customFormat="false" ht="15" hidden="false" customHeight="false" outlineLevel="0" collapsed="false">
      <c r="A35" s="7" t="s">
        <v>125</v>
      </c>
      <c r="B35" s="7" t="s">
        <v>20</v>
      </c>
      <c r="C35" s="7" t="s">
        <v>108</v>
      </c>
      <c r="D35" s="7" t="s">
        <v>70</v>
      </c>
      <c r="E35" s="7" t="s">
        <v>126</v>
      </c>
      <c r="F35" s="7" t="s">
        <v>24</v>
      </c>
      <c r="G35" s="7" t="s">
        <v>93</v>
      </c>
      <c r="H35" s="7" t="n">
        <v>10</v>
      </c>
      <c r="I35" s="7" t="s">
        <v>86</v>
      </c>
      <c r="J35" s="8" t="n">
        <v>500</v>
      </c>
      <c r="K35" s="8" t="n">
        <v>8</v>
      </c>
      <c r="L35" s="9" t="n">
        <f aca="false">K35/J35</f>
        <v>0.016</v>
      </c>
      <c r="M35" s="8" t="n">
        <v>0.1</v>
      </c>
      <c r="N35" s="10" t="n">
        <f aca="false">IF(L35&gt;0,M35/L35,"-")</f>
        <v>6.25</v>
      </c>
      <c r="O35" s="11" t="n">
        <f aca="false">IF(M35&gt;0,(M35-L35)/M35,"-")</f>
        <v>0.84</v>
      </c>
      <c r="P35" s="7" t="n">
        <v>5</v>
      </c>
      <c r="Q35" s="7" t="n">
        <v>50</v>
      </c>
      <c r="R35" s="7" t="s">
        <v>110</v>
      </c>
      <c r="S35" s="7" t="s">
        <v>127</v>
      </c>
    </row>
    <row r="36" customFormat="false" ht="15" hidden="false" customHeight="false" outlineLevel="0" collapsed="false">
      <c r="A36" s="2" t="s">
        <v>128</v>
      </c>
      <c r="B36" s="2" t="s">
        <v>20</v>
      </c>
      <c r="C36" s="2" t="s">
        <v>108</v>
      </c>
      <c r="D36" s="2" t="s">
        <v>70</v>
      </c>
      <c r="E36" s="2" t="s">
        <v>129</v>
      </c>
      <c r="F36" s="2" t="s">
        <v>24</v>
      </c>
      <c r="G36" s="2" t="s">
        <v>93</v>
      </c>
      <c r="H36" s="2" t="n">
        <v>16</v>
      </c>
      <c r="I36" s="2" t="s">
        <v>86</v>
      </c>
      <c r="J36" s="3" t="n">
        <v>250</v>
      </c>
      <c r="K36" s="3" t="n">
        <v>5</v>
      </c>
      <c r="L36" s="4" t="n">
        <f aca="false">K36/J36</f>
        <v>0.02</v>
      </c>
      <c r="M36" s="3" t="n">
        <v>0.12</v>
      </c>
      <c r="N36" s="5" t="n">
        <f aca="false">IF(L36&gt;0,M36/L36,"-")</f>
        <v>6</v>
      </c>
      <c r="O36" s="6" t="n">
        <f aca="false">IF(M36&gt;0,(M36-L36)/M36,"-")</f>
        <v>0.833333333333333</v>
      </c>
      <c r="P36" s="2" t="n">
        <v>5</v>
      </c>
      <c r="Q36" s="2" t="n">
        <v>25</v>
      </c>
      <c r="R36" s="2" t="s">
        <v>110</v>
      </c>
      <c r="S36" s="2" t="s">
        <v>130</v>
      </c>
    </row>
    <row r="37" customFormat="false" ht="15" hidden="false" customHeight="false" outlineLevel="0" collapsed="false">
      <c r="A37" s="7" t="s">
        <v>131</v>
      </c>
      <c r="B37" s="7" t="s">
        <v>20</v>
      </c>
      <c r="C37" s="7" t="s">
        <v>132</v>
      </c>
      <c r="D37" s="7" t="s">
        <v>133</v>
      </c>
      <c r="E37" s="7" t="s">
        <v>134</v>
      </c>
      <c r="F37" s="7" t="s">
        <v>24</v>
      </c>
      <c r="G37" s="7" t="s">
        <v>57</v>
      </c>
      <c r="H37" s="7" t="n">
        <v>6</v>
      </c>
      <c r="I37" s="7" t="s">
        <v>45</v>
      </c>
      <c r="J37" s="8" t="n">
        <v>500</v>
      </c>
      <c r="K37" s="8" t="n">
        <v>6</v>
      </c>
      <c r="L37" s="9" t="n">
        <f aca="false">K37/J37</f>
        <v>0.012</v>
      </c>
      <c r="M37" s="8" t="n">
        <v>0.07</v>
      </c>
      <c r="N37" s="10" t="n">
        <f aca="false">IF(L37&gt;0,M37/L37,"-")</f>
        <v>5.83333333333333</v>
      </c>
      <c r="O37" s="11" t="n">
        <f aca="false">IF(M37&gt;0,(M37-L37)/M37,"-")</f>
        <v>0.828571428571429</v>
      </c>
      <c r="P37" s="7" t="n">
        <v>5</v>
      </c>
      <c r="Q37" s="7" t="n">
        <v>50</v>
      </c>
      <c r="R37" s="7" t="s">
        <v>27</v>
      </c>
      <c r="S37" s="7" t="s">
        <v>135</v>
      </c>
    </row>
    <row r="38" customFormat="false" ht="15" hidden="false" customHeight="false" outlineLevel="0" collapsed="false">
      <c r="A38" s="2" t="s">
        <v>136</v>
      </c>
      <c r="B38" s="2" t="s">
        <v>20</v>
      </c>
      <c r="C38" s="2" t="s">
        <v>132</v>
      </c>
      <c r="D38" s="2" t="s">
        <v>133</v>
      </c>
      <c r="E38" s="2" t="s">
        <v>137</v>
      </c>
      <c r="F38" s="2" t="s">
        <v>24</v>
      </c>
      <c r="G38" s="2" t="s">
        <v>57</v>
      </c>
      <c r="H38" s="2" t="n">
        <v>8</v>
      </c>
      <c r="I38" s="2" t="s">
        <v>45</v>
      </c>
      <c r="J38" s="3" t="n">
        <v>500</v>
      </c>
      <c r="K38" s="3" t="n">
        <v>6.25</v>
      </c>
      <c r="L38" s="4" t="n">
        <f aca="false">K38/J38</f>
        <v>0.0125</v>
      </c>
      <c r="M38" s="3" t="n">
        <v>0.07</v>
      </c>
      <c r="N38" s="5" t="n">
        <f aca="false">IF(L38&gt;0,M38/L38,"-")</f>
        <v>5.6</v>
      </c>
      <c r="O38" s="6" t="n">
        <f aca="false">IF(M38&gt;0,(M38-L38)/M38,"-")</f>
        <v>0.821428571428572</v>
      </c>
      <c r="P38" s="2" t="n">
        <v>5</v>
      </c>
      <c r="Q38" s="2" t="n">
        <v>50</v>
      </c>
      <c r="R38" s="2" t="s">
        <v>27</v>
      </c>
      <c r="S38" s="2" t="s">
        <v>138</v>
      </c>
    </row>
    <row r="39" customFormat="false" ht="15" hidden="false" customHeight="false" outlineLevel="0" collapsed="false">
      <c r="A39" s="7" t="s">
        <v>139</v>
      </c>
      <c r="B39" s="7" t="s">
        <v>20</v>
      </c>
      <c r="C39" s="7" t="s">
        <v>132</v>
      </c>
      <c r="D39" s="7" t="s">
        <v>140</v>
      </c>
      <c r="E39" s="7" t="s">
        <v>141</v>
      </c>
      <c r="F39" s="7" t="s">
        <v>24</v>
      </c>
      <c r="G39" s="7" t="s">
        <v>57</v>
      </c>
      <c r="H39" s="7" t="n">
        <v>10</v>
      </c>
      <c r="I39" s="7" t="s">
        <v>45</v>
      </c>
      <c r="J39" s="8" t="n">
        <v>500</v>
      </c>
      <c r="K39" s="8" t="n">
        <v>6.5</v>
      </c>
      <c r="L39" s="9" t="n">
        <f aca="false">K39/J39</f>
        <v>0.013</v>
      </c>
      <c r="M39" s="8" t="n">
        <v>0.08</v>
      </c>
      <c r="N39" s="10" t="n">
        <f aca="false">IF(L39&gt;0,M39/L39,"-")</f>
        <v>6.15384615384615</v>
      </c>
      <c r="O39" s="11" t="n">
        <f aca="false">IF(M39&gt;0,(M39-L39)/M39,"-")</f>
        <v>0.8375</v>
      </c>
      <c r="P39" s="7" t="n">
        <v>5</v>
      </c>
      <c r="Q39" s="7" t="n">
        <v>50</v>
      </c>
      <c r="R39" s="7" t="s">
        <v>27</v>
      </c>
      <c r="S39" s="7" t="s">
        <v>142</v>
      </c>
    </row>
    <row r="40" customFormat="false" ht="15" hidden="false" customHeight="false" outlineLevel="0" collapsed="false">
      <c r="A40" s="2" t="s">
        <v>143</v>
      </c>
      <c r="B40" s="2" t="s">
        <v>20</v>
      </c>
      <c r="C40" s="2" t="s">
        <v>132</v>
      </c>
      <c r="D40" s="2" t="s">
        <v>140</v>
      </c>
      <c r="E40" s="2" t="s">
        <v>144</v>
      </c>
      <c r="F40" s="2" t="s">
        <v>24</v>
      </c>
      <c r="G40" s="2" t="s">
        <v>57</v>
      </c>
      <c r="H40" s="2" t="n">
        <v>12</v>
      </c>
      <c r="I40" s="2" t="s">
        <v>45</v>
      </c>
      <c r="J40" s="3" t="n">
        <v>250</v>
      </c>
      <c r="K40" s="3" t="n">
        <v>3.75</v>
      </c>
      <c r="L40" s="4" t="n">
        <f aca="false">K40/J40</f>
        <v>0.015</v>
      </c>
      <c r="M40" s="3" t="n">
        <v>0.09</v>
      </c>
      <c r="N40" s="5" t="n">
        <f aca="false">IF(L40&gt;0,M40/L40,"-")</f>
        <v>6</v>
      </c>
      <c r="O40" s="6" t="n">
        <f aca="false">IF(M40&gt;0,(M40-L40)/M40,"-")</f>
        <v>0.833333333333333</v>
      </c>
      <c r="P40" s="2" t="n">
        <v>5</v>
      </c>
      <c r="Q40" s="2" t="n">
        <v>25</v>
      </c>
      <c r="R40" s="2" t="s">
        <v>27</v>
      </c>
      <c r="S40" s="2"/>
    </row>
    <row r="41" customFormat="false" ht="15" hidden="false" customHeight="false" outlineLevel="0" collapsed="false">
      <c r="A41" s="7" t="s">
        <v>145</v>
      </c>
      <c r="B41" s="7" t="s">
        <v>20</v>
      </c>
      <c r="C41" s="7" t="s">
        <v>146</v>
      </c>
      <c r="D41" s="7" t="s">
        <v>70</v>
      </c>
      <c r="E41" s="7" t="s">
        <v>147</v>
      </c>
      <c r="F41" s="7" t="s">
        <v>24</v>
      </c>
      <c r="G41" s="7" t="s">
        <v>25</v>
      </c>
      <c r="H41" s="7" t="n">
        <v>10</v>
      </c>
      <c r="I41" s="7" t="s">
        <v>148</v>
      </c>
      <c r="J41" s="8" t="n">
        <v>500</v>
      </c>
      <c r="K41" s="8" t="n">
        <v>5</v>
      </c>
      <c r="L41" s="9" t="n">
        <f aca="false">K41/J41</f>
        <v>0.01</v>
      </c>
      <c r="M41" s="8" t="n">
        <v>0.06</v>
      </c>
      <c r="N41" s="10" t="n">
        <f aca="false">IF(L41&gt;0,M41/L41,"-")</f>
        <v>6</v>
      </c>
      <c r="O41" s="11" t="n">
        <f aca="false">IF(M41&gt;0,(M41-L41)/M41,"-")</f>
        <v>0.833333333333333</v>
      </c>
      <c r="P41" s="7" t="n">
        <v>10</v>
      </c>
      <c r="Q41" s="7" t="n">
        <v>50</v>
      </c>
      <c r="R41" s="7" t="s">
        <v>110</v>
      </c>
      <c r="S41" s="7" t="s">
        <v>149</v>
      </c>
    </row>
    <row r="42" customFormat="false" ht="15" hidden="false" customHeight="false" outlineLevel="0" collapsed="false">
      <c r="A42" s="2" t="s">
        <v>150</v>
      </c>
      <c r="B42" s="2" t="s">
        <v>20</v>
      </c>
      <c r="C42" s="2" t="s">
        <v>146</v>
      </c>
      <c r="D42" s="2" t="s">
        <v>70</v>
      </c>
      <c r="E42" s="2" t="s">
        <v>151</v>
      </c>
      <c r="F42" s="2" t="s">
        <v>152</v>
      </c>
      <c r="G42" s="2" t="s">
        <v>57</v>
      </c>
      <c r="H42" s="2" t="n">
        <v>5</v>
      </c>
      <c r="I42" s="2" t="s">
        <v>148</v>
      </c>
      <c r="J42" s="3" t="n">
        <v>500</v>
      </c>
      <c r="K42" s="3" t="n">
        <v>4.5</v>
      </c>
      <c r="L42" s="4" t="n">
        <f aca="false">K42/J42</f>
        <v>0.009</v>
      </c>
      <c r="M42" s="3" t="n">
        <v>0.05</v>
      </c>
      <c r="N42" s="5" t="n">
        <f aca="false">IF(L42&gt;0,M42/L42,"-")</f>
        <v>5.55555555555556</v>
      </c>
      <c r="O42" s="6" t="n">
        <f aca="false">IF(M42&gt;0,(M42-L42)/M42,"-")</f>
        <v>0.82</v>
      </c>
      <c r="P42" s="2" t="n">
        <v>10</v>
      </c>
      <c r="Q42" s="2" t="n">
        <v>50</v>
      </c>
      <c r="R42" s="2" t="s">
        <v>110</v>
      </c>
      <c r="S42" s="2" t="s">
        <v>153</v>
      </c>
    </row>
    <row r="43" customFormat="false" ht="15" hidden="false" customHeight="false" outlineLevel="0" collapsed="false">
      <c r="A43" s="7" t="s">
        <v>154</v>
      </c>
      <c r="B43" s="7" t="s">
        <v>155</v>
      </c>
      <c r="C43" s="7" t="s">
        <v>156</v>
      </c>
      <c r="D43" s="7" t="s">
        <v>38</v>
      </c>
      <c r="E43" s="7" t="s">
        <v>157</v>
      </c>
      <c r="F43" s="7" t="s">
        <v>24</v>
      </c>
      <c r="G43" s="7" t="s">
        <v>25</v>
      </c>
      <c r="H43" s="7"/>
      <c r="I43" s="7"/>
      <c r="J43" s="8" t="n">
        <v>500</v>
      </c>
      <c r="K43" s="8" t="n">
        <v>3.5</v>
      </c>
      <c r="L43" s="9" t="n">
        <f aca="false">K43/J43</f>
        <v>0.007</v>
      </c>
      <c r="M43" s="8" t="n">
        <v>0.04</v>
      </c>
      <c r="N43" s="10" t="n">
        <f aca="false">IF(L43&gt;0,M43/L43,"-")</f>
        <v>5.71428571428571</v>
      </c>
      <c r="O43" s="11" t="n">
        <f aca="false">IF(M43&gt;0,(M43-L43)/M43,"-")</f>
        <v>0.825</v>
      </c>
      <c r="P43" s="7" t="n">
        <v>10</v>
      </c>
      <c r="Q43" s="7" t="n">
        <v>50</v>
      </c>
      <c r="R43" s="7" t="s">
        <v>27</v>
      </c>
      <c r="S43" s="7"/>
    </row>
    <row r="44" customFormat="false" ht="15" hidden="false" customHeight="false" outlineLevel="0" collapsed="false">
      <c r="A44" s="2" t="s">
        <v>158</v>
      </c>
      <c r="B44" s="2" t="s">
        <v>155</v>
      </c>
      <c r="C44" s="2" t="s">
        <v>156</v>
      </c>
      <c r="D44" s="2" t="s">
        <v>159</v>
      </c>
      <c r="E44" s="2" t="s">
        <v>160</v>
      </c>
      <c r="F44" s="2" t="s">
        <v>24</v>
      </c>
      <c r="G44" s="2" t="s">
        <v>44</v>
      </c>
      <c r="H44" s="2"/>
      <c r="I44" s="2"/>
      <c r="J44" s="3" t="n">
        <v>500</v>
      </c>
      <c r="K44" s="3" t="n">
        <v>3.5</v>
      </c>
      <c r="L44" s="4" t="n">
        <f aca="false">K44/J44</f>
        <v>0.007</v>
      </c>
      <c r="M44" s="3" t="n">
        <v>0.04</v>
      </c>
      <c r="N44" s="5" t="n">
        <f aca="false">IF(L44&gt;0,M44/L44,"-")</f>
        <v>5.71428571428571</v>
      </c>
      <c r="O44" s="6" t="n">
        <f aca="false">IF(M44&gt;0,(M44-L44)/M44,"-")</f>
        <v>0.825</v>
      </c>
      <c r="P44" s="2" t="n">
        <v>10</v>
      </c>
      <c r="Q44" s="2" t="n">
        <v>50</v>
      </c>
      <c r="R44" s="2" t="s">
        <v>27</v>
      </c>
      <c r="S44" s="2" t="s">
        <v>161</v>
      </c>
    </row>
    <row r="45" customFormat="false" ht="15" hidden="false" customHeight="false" outlineLevel="0" collapsed="false">
      <c r="A45" s="7" t="s">
        <v>162</v>
      </c>
      <c r="B45" s="7" t="s">
        <v>155</v>
      </c>
      <c r="C45" s="7" t="s">
        <v>156</v>
      </c>
      <c r="D45" s="7" t="s">
        <v>55</v>
      </c>
      <c r="E45" s="7" t="s">
        <v>163</v>
      </c>
      <c r="F45" s="7" t="s">
        <v>24</v>
      </c>
      <c r="G45" s="7" t="s">
        <v>57</v>
      </c>
      <c r="H45" s="7"/>
      <c r="I45" s="7"/>
      <c r="J45" s="8" t="n">
        <v>1000</v>
      </c>
      <c r="K45" s="8" t="n">
        <v>5</v>
      </c>
      <c r="L45" s="9" t="n">
        <f aca="false">K45/J45</f>
        <v>0.005</v>
      </c>
      <c r="M45" s="8" t="n">
        <v>0.03</v>
      </c>
      <c r="N45" s="10" t="n">
        <f aca="false">IF(L45&gt;0,M45/L45,"-")</f>
        <v>6</v>
      </c>
      <c r="O45" s="11" t="n">
        <f aca="false">IF(M45&gt;0,(M45-L45)/M45,"-")</f>
        <v>0.833333333333333</v>
      </c>
      <c r="P45" s="7" t="n">
        <v>10</v>
      </c>
      <c r="Q45" s="7" t="n">
        <v>100</v>
      </c>
      <c r="R45" s="7" t="s">
        <v>27</v>
      </c>
      <c r="S45" s="7" t="s">
        <v>164</v>
      </c>
    </row>
    <row r="46" customFormat="false" ht="15" hidden="false" customHeight="false" outlineLevel="0" collapsed="false">
      <c r="A46" s="2" t="s">
        <v>165</v>
      </c>
      <c r="B46" s="2" t="s">
        <v>155</v>
      </c>
      <c r="C46" s="2" t="s">
        <v>156</v>
      </c>
      <c r="D46" s="2" t="s">
        <v>70</v>
      </c>
      <c r="E46" s="2" t="s">
        <v>166</v>
      </c>
      <c r="F46" s="2" t="s">
        <v>24</v>
      </c>
      <c r="G46" s="2" t="s">
        <v>85</v>
      </c>
      <c r="H46" s="2"/>
      <c r="I46" s="2"/>
      <c r="J46" s="3" t="n">
        <v>500</v>
      </c>
      <c r="K46" s="3" t="n">
        <v>3.5</v>
      </c>
      <c r="L46" s="4" t="n">
        <f aca="false">K46/J46</f>
        <v>0.007</v>
      </c>
      <c r="M46" s="3" t="n">
        <v>0.04</v>
      </c>
      <c r="N46" s="5" t="n">
        <f aca="false">IF(L46&gt;0,M46/L46,"-")</f>
        <v>5.71428571428571</v>
      </c>
      <c r="O46" s="6" t="n">
        <f aca="false">IF(M46&gt;0,(M46-L46)/M46,"-")</f>
        <v>0.825</v>
      </c>
      <c r="P46" s="2" t="n">
        <v>10</v>
      </c>
      <c r="Q46" s="2" t="n">
        <v>50</v>
      </c>
      <c r="R46" s="2" t="s">
        <v>27</v>
      </c>
      <c r="S46" s="2"/>
    </row>
    <row r="47" customFormat="false" ht="15" hidden="false" customHeight="false" outlineLevel="0" collapsed="false">
      <c r="A47" s="7" t="s">
        <v>167</v>
      </c>
      <c r="B47" s="7" t="s">
        <v>155</v>
      </c>
      <c r="C47" s="7" t="s">
        <v>156</v>
      </c>
      <c r="D47" s="7" t="s">
        <v>70</v>
      </c>
      <c r="E47" s="7" t="s">
        <v>168</v>
      </c>
      <c r="F47" s="7" t="s">
        <v>24</v>
      </c>
      <c r="G47" s="7" t="s">
        <v>93</v>
      </c>
      <c r="H47" s="7"/>
      <c r="I47" s="7"/>
      <c r="J47" s="8" t="n">
        <v>500</v>
      </c>
      <c r="K47" s="8" t="n">
        <v>4</v>
      </c>
      <c r="L47" s="9" t="n">
        <f aca="false">K47/J47</f>
        <v>0.008</v>
      </c>
      <c r="M47" s="8" t="n">
        <v>0.05</v>
      </c>
      <c r="N47" s="10" t="n">
        <f aca="false">IF(L47&gt;0,M47/L47,"-")</f>
        <v>6.25</v>
      </c>
      <c r="O47" s="11" t="n">
        <f aca="false">IF(M47&gt;0,(M47-L47)/M47,"-")</f>
        <v>0.84</v>
      </c>
      <c r="P47" s="7" t="n">
        <v>10</v>
      </c>
      <c r="Q47" s="7" t="n">
        <v>50</v>
      </c>
      <c r="R47" s="7" t="s">
        <v>27</v>
      </c>
      <c r="S47" s="7" t="s">
        <v>169</v>
      </c>
    </row>
    <row r="48" customFormat="false" ht="15" hidden="false" customHeight="false" outlineLevel="0" collapsed="false">
      <c r="A48" s="2" t="s">
        <v>170</v>
      </c>
      <c r="B48" s="2" t="s">
        <v>155</v>
      </c>
      <c r="C48" s="2" t="s">
        <v>171</v>
      </c>
      <c r="D48" s="2" t="s">
        <v>140</v>
      </c>
      <c r="E48" s="2" t="s">
        <v>172</v>
      </c>
      <c r="F48" s="2" t="s">
        <v>24</v>
      </c>
      <c r="G48" s="2" t="s">
        <v>25</v>
      </c>
      <c r="H48" s="2"/>
      <c r="I48" s="2"/>
      <c r="J48" s="3" t="n">
        <v>500</v>
      </c>
      <c r="K48" s="3" t="n">
        <v>5</v>
      </c>
      <c r="L48" s="4" t="n">
        <f aca="false">K48/J48</f>
        <v>0.01</v>
      </c>
      <c r="M48" s="3" t="n">
        <v>0.06</v>
      </c>
      <c r="N48" s="5" t="n">
        <f aca="false">IF(L48&gt;0,M48/L48,"-")</f>
        <v>6</v>
      </c>
      <c r="O48" s="6" t="n">
        <f aca="false">IF(M48&gt;0,(M48-L48)/M48,"-")</f>
        <v>0.833333333333333</v>
      </c>
      <c r="P48" s="2" t="n">
        <v>10</v>
      </c>
      <c r="Q48" s="2" t="n">
        <v>50</v>
      </c>
      <c r="R48" s="2" t="s">
        <v>27</v>
      </c>
      <c r="S48" s="2" t="s">
        <v>173</v>
      </c>
    </row>
    <row r="49" customFormat="false" ht="15" hidden="false" customHeight="false" outlineLevel="0" collapsed="false">
      <c r="A49" s="7" t="s">
        <v>174</v>
      </c>
      <c r="B49" s="7" t="s">
        <v>155</v>
      </c>
      <c r="C49" s="7" t="s">
        <v>171</v>
      </c>
      <c r="D49" s="7" t="s">
        <v>55</v>
      </c>
      <c r="E49" s="7" t="s">
        <v>175</v>
      </c>
      <c r="F49" s="7" t="s">
        <v>24</v>
      </c>
      <c r="G49" s="7" t="s">
        <v>57</v>
      </c>
      <c r="H49" s="7"/>
      <c r="I49" s="7"/>
      <c r="J49" s="8" t="n">
        <v>500</v>
      </c>
      <c r="K49" s="8" t="n">
        <v>4.5</v>
      </c>
      <c r="L49" s="9" t="n">
        <f aca="false">K49/J49</f>
        <v>0.009</v>
      </c>
      <c r="M49" s="8" t="n">
        <v>0.05</v>
      </c>
      <c r="N49" s="10" t="n">
        <f aca="false">IF(L49&gt;0,M49/L49,"-")</f>
        <v>5.55555555555556</v>
      </c>
      <c r="O49" s="11" t="n">
        <f aca="false">IF(M49&gt;0,(M49-L49)/M49,"-")</f>
        <v>0.82</v>
      </c>
      <c r="P49" s="7" t="n">
        <v>10</v>
      </c>
      <c r="Q49" s="7" t="n">
        <v>50</v>
      </c>
      <c r="R49" s="7" t="s">
        <v>27</v>
      </c>
      <c r="S49" s="7"/>
    </row>
    <row r="50" customFormat="false" ht="15" hidden="false" customHeight="false" outlineLevel="0" collapsed="false">
      <c r="A50" s="2" t="s">
        <v>176</v>
      </c>
      <c r="B50" s="2" t="s">
        <v>155</v>
      </c>
      <c r="C50" s="2" t="s">
        <v>171</v>
      </c>
      <c r="D50" s="2" t="s">
        <v>70</v>
      </c>
      <c r="E50" s="2" t="s">
        <v>177</v>
      </c>
      <c r="F50" s="2" t="s">
        <v>24</v>
      </c>
      <c r="G50" s="2" t="s">
        <v>85</v>
      </c>
      <c r="H50" s="2"/>
      <c r="I50" s="2"/>
      <c r="J50" s="3" t="n">
        <v>500</v>
      </c>
      <c r="K50" s="3" t="n">
        <v>5</v>
      </c>
      <c r="L50" s="4" t="n">
        <f aca="false">K50/J50</f>
        <v>0.01</v>
      </c>
      <c r="M50" s="3" t="n">
        <v>0.06</v>
      </c>
      <c r="N50" s="5" t="n">
        <f aca="false">IF(L50&gt;0,M50/L50,"-")</f>
        <v>6</v>
      </c>
      <c r="O50" s="6" t="n">
        <f aca="false">IF(M50&gt;0,(M50-L50)/M50,"-")</f>
        <v>0.833333333333333</v>
      </c>
      <c r="P50" s="2" t="n">
        <v>10</v>
      </c>
      <c r="Q50" s="2" t="n">
        <v>50</v>
      </c>
      <c r="R50" s="2" t="s">
        <v>27</v>
      </c>
      <c r="S50" s="2"/>
    </row>
    <row r="51" customFormat="false" ht="15" hidden="false" customHeight="false" outlineLevel="0" collapsed="false">
      <c r="A51" s="7" t="s">
        <v>178</v>
      </c>
      <c r="B51" s="7" t="s">
        <v>155</v>
      </c>
      <c r="C51" s="7" t="s">
        <v>171</v>
      </c>
      <c r="D51" s="7" t="s">
        <v>70</v>
      </c>
      <c r="E51" s="7" t="s">
        <v>179</v>
      </c>
      <c r="F51" s="7" t="s">
        <v>24</v>
      </c>
      <c r="G51" s="7" t="s">
        <v>93</v>
      </c>
      <c r="H51" s="7"/>
      <c r="I51" s="7"/>
      <c r="J51" s="8" t="n">
        <v>250</v>
      </c>
      <c r="K51" s="8" t="n">
        <v>3.25</v>
      </c>
      <c r="L51" s="9" t="n">
        <f aca="false">K51/J51</f>
        <v>0.013</v>
      </c>
      <c r="M51" s="8" t="n">
        <v>0.07</v>
      </c>
      <c r="N51" s="10" t="n">
        <f aca="false">IF(L51&gt;0,M51/L51,"-")</f>
        <v>5.38461538461539</v>
      </c>
      <c r="O51" s="11" t="n">
        <f aca="false">IF(M51&gt;0,(M51-L51)/M51,"-")</f>
        <v>0.814285714285714</v>
      </c>
      <c r="P51" s="7" t="n">
        <v>10</v>
      </c>
      <c r="Q51" s="7" t="n">
        <v>25</v>
      </c>
      <c r="R51" s="7" t="s">
        <v>27</v>
      </c>
      <c r="S51" s="7"/>
    </row>
    <row r="52" customFormat="false" ht="15" hidden="false" customHeight="false" outlineLevel="0" collapsed="false">
      <c r="A52" s="2" t="s">
        <v>180</v>
      </c>
      <c r="B52" s="2" t="s">
        <v>155</v>
      </c>
      <c r="C52" s="2" t="s">
        <v>181</v>
      </c>
      <c r="D52" s="2" t="s">
        <v>70</v>
      </c>
      <c r="E52" s="2" t="s">
        <v>182</v>
      </c>
      <c r="F52" s="2" t="s">
        <v>183</v>
      </c>
      <c r="G52" s="2" t="s">
        <v>57</v>
      </c>
      <c r="H52" s="2"/>
      <c r="I52" s="2"/>
      <c r="J52" s="3" t="n">
        <v>500</v>
      </c>
      <c r="K52" s="3" t="n">
        <v>12</v>
      </c>
      <c r="L52" s="4" t="n">
        <f aca="false">K52/J52</f>
        <v>0.024</v>
      </c>
      <c r="M52" s="3" t="n">
        <v>0.12</v>
      </c>
      <c r="N52" s="5" t="n">
        <f aca="false">IF(L52&gt;0,M52/L52,"-")</f>
        <v>5</v>
      </c>
      <c r="O52" s="6" t="n">
        <f aca="false">IF(M52&gt;0,(M52-L52)/M52,"-")</f>
        <v>0.8</v>
      </c>
      <c r="P52" s="2" t="n">
        <v>10</v>
      </c>
      <c r="Q52" s="2" t="n">
        <v>50</v>
      </c>
      <c r="R52" s="2" t="s">
        <v>184</v>
      </c>
      <c r="S52" s="2" t="s">
        <v>185</v>
      </c>
    </row>
    <row r="53" customFormat="false" ht="23.85" hidden="false" customHeight="false" outlineLevel="0" collapsed="false">
      <c r="A53" s="7" t="s">
        <v>186</v>
      </c>
      <c r="B53" s="7" t="s">
        <v>155</v>
      </c>
      <c r="C53" s="7" t="s">
        <v>187</v>
      </c>
      <c r="D53" s="7" t="s">
        <v>70</v>
      </c>
      <c r="E53" s="7" t="s">
        <v>188</v>
      </c>
      <c r="F53" s="7" t="s">
        <v>183</v>
      </c>
      <c r="G53" s="7" t="s">
        <v>57</v>
      </c>
      <c r="H53" s="7"/>
      <c r="I53" s="7"/>
      <c r="J53" s="8" t="n">
        <v>500</v>
      </c>
      <c r="K53" s="8" t="n">
        <v>10</v>
      </c>
      <c r="L53" s="9" t="n">
        <f aca="false">K53/J53</f>
        <v>0.02</v>
      </c>
      <c r="M53" s="8" t="n">
        <v>0.1</v>
      </c>
      <c r="N53" s="10" t="n">
        <f aca="false">IF(L53&gt;0,M53/L53,"-")</f>
        <v>5</v>
      </c>
      <c r="O53" s="11" t="n">
        <f aca="false">IF(M53&gt;0,(M53-L53)/M53,"-")</f>
        <v>0.8</v>
      </c>
      <c r="P53" s="7" t="n">
        <v>10</v>
      </c>
      <c r="Q53" s="7" t="n">
        <v>50</v>
      </c>
      <c r="R53" s="7" t="s">
        <v>184</v>
      </c>
      <c r="S53" s="7" t="s">
        <v>189</v>
      </c>
    </row>
    <row r="54" customFormat="false" ht="15" hidden="false" customHeight="false" outlineLevel="0" collapsed="false">
      <c r="A54" s="2" t="s">
        <v>190</v>
      </c>
      <c r="B54" s="2" t="s">
        <v>155</v>
      </c>
      <c r="C54" s="2" t="s">
        <v>181</v>
      </c>
      <c r="D54" s="2" t="s">
        <v>70</v>
      </c>
      <c r="E54" s="2" t="s">
        <v>191</v>
      </c>
      <c r="F54" s="2" t="s">
        <v>183</v>
      </c>
      <c r="G54" s="2" t="s">
        <v>93</v>
      </c>
      <c r="H54" s="2"/>
      <c r="I54" s="2"/>
      <c r="J54" s="3" t="n">
        <v>500</v>
      </c>
      <c r="K54" s="3" t="n">
        <v>14</v>
      </c>
      <c r="L54" s="4" t="n">
        <f aca="false">K54/J54</f>
        <v>0.028</v>
      </c>
      <c r="M54" s="3" t="n">
        <v>0.14</v>
      </c>
      <c r="N54" s="5" t="n">
        <f aca="false">IF(L54&gt;0,M54/L54,"-")</f>
        <v>5</v>
      </c>
      <c r="O54" s="6" t="n">
        <f aca="false">IF(M54&gt;0,(M54-L54)/M54,"-")</f>
        <v>0.8</v>
      </c>
      <c r="P54" s="2" t="n">
        <v>10</v>
      </c>
      <c r="Q54" s="2" t="n">
        <v>50</v>
      </c>
      <c r="R54" s="2" t="s">
        <v>184</v>
      </c>
      <c r="S54" s="2" t="s">
        <v>192</v>
      </c>
    </row>
    <row r="55" customFormat="false" ht="23.85" hidden="false" customHeight="false" outlineLevel="0" collapsed="false">
      <c r="A55" s="7" t="s">
        <v>193</v>
      </c>
      <c r="B55" s="7" t="s">
        <v>155</v>
      </c>
      <c r="C55" s="7" t="s">
        <v>187</v>
      </c>
      <c r="D55" s="7" t="s">
        <v>70</v>
      </c>
      <c r="E55" s="7" t="s">
        <v>194</v>
      </c>
      <c r="F55" s="7" t="s">
        <v>183</v>
      </c>
      <c r="G55" s="7" t="s">
        <v>93</v>
      </c>
      <c r="H55" s="7"/>
      <c r="I55" s="7"/>
      <c r="J55" s="8" t="n">
        <v>250</v>
      </c>
      <c r="K55" s="8" t="n">
        <v>6.5</v>
      </c>
      <c r="L55" s="9" t="n">
        <f aca="false">K55/J55</f>
        <v>0.026</v>
      </c>
      <c r="M55" s="8" t="n">
        <v>0.12</v>
      </c>
      <c r="N55" s="10" t="n">
        <f aca="false">IF(L55&gt;0,M55/L55,"-")</f>
        <v>4.61538461538462</v>
      </c>
      <c r="O55" s="11" t="n">
        <f aca="false">IF(M55&gt;0,(M55-L55)/M55,"-")</f>
        <v>0.783333333333333</v>
      </c>
      <c r="P55" s="7" t="n">
        <v>10</v>
      </c>
      <c r="Q55" s="7" t="n">
        <v>25</v>
      </c>
      <c r="R55" s="7" t="s">
        <v>184</v>
      </c>
      <c r="S55" s="7"/>
    </row>
    <row r="56" customFormat="false" ht="15" hidden="false" customHeight="false" outlineLevel="0" collapsed="false">
      <c r="A56" s="2" t="s">
        <v>195</v>
      </c>
      <c r="B56" s="2" t="s">
        <v>196</v>
      </c>
      <c r="C56" s="2" t="s">
        <v>197</v>
      </c>
      <c r="D56" s="2" t="s">
        <v>38</v>
      </c>
      <c r="E56" s="2" t="s">
        <v>198</v>
      </c>
      <c r="F56" s="2" t="s">
        <v>24</v>
      </c>
      <c r="G56" s="2" t="s">
        <v>25</v>
      </c>
      <c r="H56" s="2"/>
      <c r="I56" s="2"/>
      <c r="J56" s="3" t="n">
        <v>500</v>
      </c>
      <c r="K56" s="3" t="n">
        <v>2.5</v>
      </c>
      <c r="L56" s="4" t="n">
        <f aca="false">K56/J56</f>
        <v>0.005</v>
      </c>
      <c r="M56" s="3" t="n">
        <v>0.03</v>
      </c>
      <c r="N56" s="5" t="n">
        <f aca="false">IF(L56&gt;0,M56/L56,"-")</f>
        <v>6</v>
      </c>
      <c r="O56" s="6" t="n">
        <f aca="false">IF(M56&gt;0,(M56-L56)/M56,"-")</f>
        <v>0.833333333333333</v>
      </c>
      <c r="P56" s="2" t="n">
        <v>10</v>
      </c>
      <c r="Q56" s="2" t="n">
        <v>50</v>
      </c>
      <c r="R56" s="2" t="s">
        <v>27</v>
      </c>
      <c r="S56" s="2"/>
    </row>
    <row r="57" customFormat="false" ht="15" hidden="false" customHeight="false" outlineLevel="0" collapsed="false">
      <c r="A57" s="7" t="s">
        <v>199</v>
      </c>
      <c r="B57" s="7" t="s">
        <v>196</v>
      </c>
      <c r="C57" s="7" t="s">
        <v>197</v>
      </c>
      <c r="D57" s="7" t="s">
        <v>159</v>
      </c>
      <c r="E57" s="7" t="s">
        <v>200</v>
      </c>
      <c r="F57" s="7" t="s">
        <v>24</v>
      </c>
      <c r="G57" s="7" t="s">
        <v>44</v>
      </c>
      <c r="H57" s="7"/>
      <c r="I57" s="7"/>
      <c r="J57" s="8" t="n">
        <v>500</v>
      </c>
      <c r="K57" s="8" t="n">
        <v>2.5</v>
      </c>
      <c r="L57" s="9" t="n">
        <f aca="false">K57/J57</f>
        <v>0.005</v>
      </c>
      <c r="M57" s="8" t="n">
        <v>0.03</v>
      </c>
      <c r="N57" s="10" t="n">
        <f aca="false">IF(L57&gt;0,M57/L57,"-")</f>
        <v>6</v>
      </c>
      <c r="O57" s="11" t="n">
        <f aca="false">IF(M57&gt;0,(M57-L57)/M57,"-")</f>
        <v>0.833333333333333</v>
      </c>
      <c r="P57" s="7" t="n">
        <v>10</v>
      </c>
      <c r="Q57" s="7" t="n">
        <v>50</v>
      </c>
      <c r="R57" s="7" t="s">
        <v>27</v>
      </c>
      <c r="S57" s="7"/>
    </row>
    <row r="58" customFormat="false" ht="15" hidden="false" customHeight="false" outlineLevel="0" collapsed="false">
      <c r="A58" s="2" t="s">
        <v>201</v>
      </c>
      <c r="B58" s="2" t="s">
        <v>196</v>
      </c>
      <c r="C58" s="2" t="s">
        <v>197</v>
      </c>
      <c r="D58" s="2" t="s">
        <v>55</v>
      </c>
      <c r="E58" s="2" t="s">
        <v>202</v>
      </c>
      <c r="F58" s="2" t="s">
        <v>24</v>
      </c>
      <c r="G58" s="2" t="s">
        <v>57</v>
      </c>
      <c r="H58" s="2"/>
      <c r="I58" s="2"/>
      <c r="J58" s="3" t="n">
        <v>1000</v>
      </c>
      <c r="K58" s="3" t="n">
        <v>4</v>
      </c>
      <c r="L58" s="4" t="n">
        <f aca="false">K58/J58</f>
        <v>0.004</v>
      </c>
      <c r="M58" s="3" t="n">
        <v>0.03</v>
      </c>
      <c r="N58" s="5" t="n">
        <f aca="false">IF(L58&gt;0,M58/L58,"-")</f>
        <v>7.5</v>
      </c>
      <c r="O58" s="6" t="n">
        <f aca="false">IF(M58&gt;0,(M58-L58)/M58,"-")</f>
        <v>0.866666666666667</v>
      </c>
      <c r="P58" s="2" t="n">
        <v>10</v>
      </c>
      <c r="Q58" s="2" t="n">
        <v>100</v>
      </c>
      <c r="R58" s="2" t="s">
        <v>27</v>
      </c>
      <c r="S58" s="2" t="s">
        <v>68</v>
      </c>
    </row>
    <row r="59" customFormat="false" ht="15" hidden="false" customHeight="false" outlineLevel="0" collapsed="false">
      <c r="A59" s="7" t="s">
        <v>203</v>
      </c>
      <c r="B59" s="7" t="s">
        <v>196</v>
      </c>
      <c r="C59" s="7" t="s">
        <v>197</v>
      </c>
      <c r="D59" s="7" t="s">
        <v>70</v>
      </c>
      <c r="E59" s="7" t="s">
        <v>204</v>
      </c>
      <c r="F59" s="7" t="s">
        <v>24</v>
      </c>
      <c r="G59" s="7" t="s">
        <v>85</v>
      </c>
      <c r="H59" s="7"/>
      <c r="I59" s="7"/>
      <c r="J59" s="8" t="n">
        <v>500</v>
      </c>
      <c r="K59" s="8" t="n">
        <v>2.5</v>
      </c>
      <c r="L59" s="9" t="n">
        <f aca="false">K59/J59</f>
        <v>0.005</v>
      </c>
      <c r="M59" s="8" t="n">
        <v>0.03</v>
      </c>
      <c r="N59" s="10" t="n">
        <f aca="false">IF(L59&gt;0,M59/L59,"-")</f>
        <v>6</v>
      </c>
      <c r="O59" s="11" t="n">
        <f aca="false">IF(M59&gt;0,(M59-L59)/M59,"-")</f>
        <v>0.833333333333333</v>
      </c>
      <c r="P59" s="7" t="n">
        <v>10</v>
      </c>
      <c r="Q59" s="7" t="n">
        <v>50</v>
      </c>
      <c r="R59" s="7" t="s">
        <v>27</v>
      </c>
      <c r="S59" s="7"/>
    </row>
    <row r="60" customFormat="false" ht="15" hidden="false" customHeight="false" outlineLevel="0" collapsed="false">
      <c r="A60" s="2" t="s">
        <v>205</v>
      </c>
      <c r="B60" s="2" t="s">
        <v>196</v>
      </c>
      <c r="C60" s="2" t="s">
        <v>197</v>
      </c>
      <c r="D60" s="2" t="s">
        <v>70</v>
      </c>
      <c r="E60" s="2" t="s">
        <v>206</v>
      </c>
      <c r="F60" s="2" t="s">
        <v>24</v>
      </c>
      <c r="G60" s="2" t="s">
        <v>93</v>
      </c>
      <c r="H60" s="2"/>
      <c r="I60" s="2"/>
      <c r="J60" s="3" t="n">
        <v>500</v>
      </c>
      <c r="K60" s="3" t="n">
        <v>3</v>
      </c>
      <c r="L60" s="4" t="n">
        <f aca="false">K60/J60</f>
        <v>0.006</v>
      </c>
      <c r="M60" s="3" t="n">
        <v>0.04</v>
      </c>
      <c r="N60" s="5" t="n">
        <f aca="false">IF(L60&gt;0,M60/L60,"-")</f>
        <v>6.66666666666667</v>
      </c>
      <c r="O60" s="6" t="n">
        <f aca="false">IF(M60&gt;0,(M60-L60)/M60,"-")</f>
        <v>0.85</v>
      </c>
      <c r="P60" s="2" t="n">
        <v>10</v>
      </c>
      <c r="Q60" s="2" t="n">
        <v>50</v>
      </c>
      <c r="R60" s="2" t="s">
        <v>27</v>
      </c>
      <c r="S60" s="2"/>
    </row>
    <row r="61" customFormat="false" ht="15" hidden="false" customHeight="false" outlineLevel="0" collapsed="false">
      <c r="A61" s="7" t="s">
        <v>207</v>
      </c>
      <c r="B61" s="7" t="s">
        <v>196</v>
      </c>
      <c r="C61" s="7" t="s">
        <v>208</v>
      </c>
      <c r="D61" s="7" t="s">
        <v>70</v>
      </c>
      <c r="E61" s="7" t="s">
        <v>209</v>
      </c>
      <c r="F61" s="7" t="s">
        <v>24</v>
      </c>
      <c r="G61" s="7" t="s">
        <v>57</v>
      </c>
      <c r="H61" s="7"/>
      <c r="I61" s="7"/>
      <c r="J61" s="8" t="n">
        <v>500</v>
      </c>
      <c r="K61" s="8" t="n">
        <v>3</v>
      </c>
      <c r="L61" s="9" t="n">
        <f aca="false">K61/J61</f>
        <v>0.006</v>
      </c>
      <c r="M61" s="8" t="n">
        <v>0.04</v>
      </c>
      <c r="N61" s="10" t="n">
        <f aca="false">IF(L61&gt;0,M61/L61,"-")</f>
        <v>6.66666666666667</v>
      </c>
      <c r="O61" s="11" t="n">
        <f aca="false">IF(M61&gt;0,(M61-L61)/M61,"-")</f>
        <v>0.85</v>
      </c>
      <c r="P61" s="7" t="n">
        <v>10</v>
      </c>
      <c r="Q61" s="7" t="n">
        <v>50</v>
      </c>
      <c r="R61" s="7" t="s">
        <v>27</v>
      </c>
      <c r="S61" s="7"/>
    </row>
    <row r="62" customFormat="false" ht="15" hidden="false" customHeight="false" outlineLevel="0" collapsed="false">
      <c r="A62" s="2" t="s">
        <v>210</v>
      </c>
      <c r="B62" s="2" t="s">
        <v>196</v>
      </c>
      <c r="C62" s="2" t="s">
        <v>208</v>
      </c>
      <c r="D62" s="2" t="s">
        <v>70</v>
      </c>
      <c r="E62" s="2" t="s">
        <v>211</v>
      </c>
      <c r="F62" s="2" t="s">
        <v>24</v>
      </c>
      <c r="G62" s="2" t="s">
        <v>93</v>
      </c>
      <c r="H62" s="2"/>
      <c r="I62" s="2"/>
      <c r="J62" s="3" t="n">
        <v>500</v>
      </c>
      <c r="K62" s="3" t="n">
        <v>3.5</v>
      </c>
      <c r="L62" s="4" t="n">
        <f aca="false">K62/J62</f>
        <v>0.007</v>
      </c>
      <c r="M62" s="3" t="n">
        <v>0.04</v>
      </c>
      <c r="N62" s="5" t="n">
        <f aca="false">IF(L62&gt;0,M62/L62,"-")</f>
        <v>5.71428571428571</v>
      </c>
      <c r="O62" s="6" t="n">
        <f aca="false">IF(M62&gt;0,(M62-L62)/M62,"-")</f>
        <v>0.825</v>
      </c>
      <c r="P62" s="2" t="n">
        <v>10</v>
      </c>
      <c r="Q62" s="2" t="n">
        <v>50</v>
      </c>
      <c r="R62" s="2" t="s">
        <v>27</v>
      </c>
      <c r="S62" s="2"/>
    </row>
    <row r="63" customFormat="false" ht="15" hidden="false" customHeight="false" outlineLevel="0" collapsed="false">
      <c r="A63" s="7" t="s">
        <v>212</v>
      </c>
      <c r="B63" s="7" t="s">
        <v>196</v>
      </c>
      <c r="C63" s="7" t="s">
        <v>213</v>
      </c>
      <c r="D63" s="7" t="s">
        <v>70</v>
      </c>
      <c r="E63" s="7" t="s">
        <v>214</v>
      </c>
      <c r="F63" s="7" t="s">
        <v>24</v>
      </c>
      <c r="G63" s="7" t="s">
        <v>93</v>
      </c>
      <c r="H63" s="7" t="n">
        <v>1</v>
      </c>
      <c r="I63" s="7"/>
      <c r="J63" s="8" t="n">
        <v>200</v>
      </c>
      <c r="K63" s="8" t="n">
        <v>3</v>
      </c>
      <c r="L63" s="9" t="n">
        <f aca="false">K63/J63</f>
        <v>0.015</v>
      </c>
      <c r="M63" s="8" t="n">
        <v>0.08</v>
      </c>
      <c r="N63" s="10" t="n">
        <f aca="false">IF(L63&gt;0,M63/L63,"-")</f>
        <v>5.33333333333333</v>
      </c>
      <c r="O63" s="11" t="n">
        <f aca="false">IF(M63&gt;0,(M63-L63)/M63,"-")</f>
        <v>0.8125</v>
      </c>
      <c r="P63" s="7" t="n">
        <v>5</v>
      </c>
      <c r="Q63" s="7" t="n">
        <v>20</v>
      </c>
      <c r="R63" s="7" t="s">
        <v>184</v>
      </c>
      <c r="S63" s="7" t="s">
        <v>68</v>
      </c>
    </row>
    <row r="64" customFormat="false" ht="15" hidden="false" customHeight="false" outlineLevel="0" collapsed="false">
      <c r="A64" s="2" t="s">
        <v>215</v>
      </c>
      <c r="B64" s="2" t="s">
        <v>216</v>
      </c>
      <c r="C64" s="2" t="s">
        <v>217</v>
      </c>
      <c r="D64" s="2" t="s">
        <v>218</v>
      </c>
      <c r="E64" s="2" t="s">
        <v>219</v>
      </c>
      <c r="F64" s="2" t="s">
        <v>220</v>
      </c>
      <c r="G64" s="2" t="s">
        <v>25</v>
      </c>
      <c r="H64" s="2" t="n">
        <v>3</v>
      </c>
      <c r="I64" s="2"/>
      <c r="J64" s="3" t="n">
        <v>500</v>
      </c>
      <c r="K64" s="3" t="n">
        <v>8</v>
      </c>
      <c r="L64" s="4" t="n">
        <f aca="false">K64/J64</f>
        <v>0.016</v>
      </c>
      <c r="M64" s="3" t="n">
        <v>0.08</v>
      </c>
      <c r="N64" s="5" t="n">
        <f aca="false">IF(L64&gt;0,M64/L64,"-")</f>
        <v>5</v>
      </c>
      <c r="O64" s="6" t="n">
        <f aca="false">IF(M64&gt;0,(M64-L64)/M64,"-")</f>
        <v>0.8</v>
      </c>
      <c r="P64" s="2" t="n">
        <v>10</v>
      </c>
      <c r="Q64" s="2" t="n">
        <v>50</v>
      </c>
      <c r="R64" s="2" t="s">
        <v>221</v>
      </c>
      <c r="S64" s="2" t="s">
        <v>222</v>
      </c>
    </row>
    <row r="65" customFormat="false" ht="23.85" hidden="false" customHeight="false" outlineLevel="0" collapsed="false">
      <c r="A65" s="7" t="s">
        <v>223</v>
      </c>
      <c r="B65" s="7" t="s">
        <v>216</v>
      </c>
      <c r="C65" s="7" t="s">
        <v>217</v>
      </c>
      <c r="D65" s="7" t="s">
        <v>70</v>
      </c>
      <c r="E65" s="7" t="s">
        <v>224</v>
      </c>
      <c r="F65" s="7" t="s">
        <v>220</v>
      </c>
      <c r="G65" s="7" t="s">
        <v>57</v>
      </c>
      <c r="H65" s="7" t="n">
        <v>4</v>
      </c>
      <c r="I65" s="7"/>
      <c r="J65" s="8" t="n">
        <v>1000</v>
      </c>
      <c r="K65" s="8" t="n">
        <v>12</v>
      </c>
      <c r="L65" s="9" t="n">
        <f aca="false">K65/J65</f>
        <v>0.012</v>
      </c>
      <c r="M65" s="8" t="n">
        <v>0.06</v>
      </c>
      <c r="N65" s="10" t="n">
        <f aca="false">IF(L65&gt;0,M65/L65,"-")</f>
        <v>5</v>
      </c>
      <c r="O65" s="11" t="n">
        <f aca="false">IF(M65&gt;0,(M65-L65)/M65,"-")</f>
        <v>0.8</v>
      </c>
      <c r="P65" s="7" t="n">
        <v>10</v>
      </c>
      <c r="Q65" s="7" t="n">
        <v>100</v>
      </c>
      <c r="R65" s="7" t="s">
        <v>221</v>
      </c>
      <c r="S65" s="7" t="s">
        <v>225</v>
      </c>
    </row>
    <row r="66" customFormat="false" ht="23.85" hidden="false" customHeight="false" outlineLevel="0" collapsed="false">
      <c r="A66" s="2" t="s">
        <v>226</v>
      </c>
      <c r="B66" s="2" t="s">
        <v>216</v>
      </c>
      <c r="C66" s="2" t="s">
        <v>217</v>
      </c>
      <c r="D66" s="2" t="s">
        <v>70</v>
      </c>
      <c r="E66" s="2" t="s">
        <v>227</v>
      </c>
      <c r="F66" s="2" t="s">
        <v>220</v>
      </c>
      <c r="G66" s="2" t="s">
        <v>57</v>
      </c>
      <c r="H66" s="2" t="n">
        <v>4</v>
      </c>
      <c r="I66" s="2"/>
      <c r="J66" s="3" t="n">
        <v>500</v>
      </c>
      <c r="K66" s="3" t="n">
        <v>7</v>
      </c>
      <c r="L66" s="4" t="n">
        <f aca="false">K66/J66</f>
        <v>0.014</v>
      </c>
      <c r="M66" s="3" t="n">
        <v>0.06</v>
      </c>
      <c r="N66" s="5" t="n">
        <f aca="false">IF(L66&gt;0,M66/L66,"-")</f>
        <v>4.28571428571429</v>
      </c>
      <c r="O66" s="6" t="n">
        <f aca="false">IF(M66&gt;0,(M66-L66)/M66,"-")</f>
        <v>0.766666666666667</v>
      </c>
      <c r="P66" s="2" t="n">
        <v>10</v>
      </c>
      <c r="Q66" s="2" t="n">
        <v>50</v>
      </c>
      <c r="R66" s="2" t="s">
        <v>221</v>
      </c>
      <c r="S66" s="2" t="s">
        <v>228</v>
      </c>
    </row>
    <row r="67" customFormat="false" ht="15" hidden="false" customHeight="false" outlineLevel="0" collapsed="false">
      <c r="A67" s="7" t="s">
        <v>229</v>
      </c>
      <c r="B67" s="7" t="s">
        <v>216</v>
      </c>
      <c r="C67" s="7" t="s">
        <v>217</v>
      </c>
      <c r="D67" s="7" t="s">
        <v>70</v>
      </c>
      <c r="E67" s="7" t="s">
        <v>230</v>
      </c>
      <c r="F67" s="7" t="s">
        <v>220</v>
      </c>
      <c r="G67" s="7" t="s">
        <v>85</v>
      </c>
      <c r="H67" s="7" t="n">
        <v>5</v>
      </c>
      <c r="I67" s="7"/>
      <c r="J67" s="8" t="n">
        <v>250</v>
      </c>
      <c r="K67" s="8" t="n">
        <v>5</v>
      </c>
      <c r="L67" s="9" t="n">
        <f aca="false">K67/J67</f>
        <v>0.02</v>
      </c>
      <c r="M67" s="8" t="n">
        <v>0.1</v>
      </c>
      <c r="N67" s="10" t="n">
        <f aca="false">IF(L67&gt;0,M67/L67,"-")</f>
        <v>5</v>
      </c>
      <c r="O67" s="11" t="n">
        <f aca="false">IF(M67&gt;0,(M67-L67)/M67,"-")</f>
        <v>0.8</v>
      </c>
      <c r="P67" s="7" t="n">
        <v>10</v>
      </c>
      <c r="Q67" s="7" t="n">
        <v>25</v>
      </c>
      <c r="R67" s="7" t="s">
        <v>221</v>
      </c>
      <c r="S67" s="7" t="s">
        <v>231</v>
      </c>
    </row>
    <row r="68" customFormat="false" ht="15" hidden="false" customHeight="false" outlineLevel="0" collapsed="false">
      <c r="A68" s="2" t="s">
        <v>232</v>
      </c>
      <c r="B68" s="2" t="s">
        <v>216</v>
      </c>
      <c r="C68" s="2" t="s">
        <v>217</v>
      </c>
      <c r="D68" s="2" t="s">
        <v>70</v>
      </c>
      <c r="E68" s="2" t="s">
        <v>233</v>
      </c>
      <c r="F68" s="2" t="s">
        <v>220</v>
      </c>
      <c r="G68" s="2" t="s">
        <v>93</v>
      </c>
      <c r="H68" s="2" t="n">
        <v>7</v>
      </c>
      <c r="I68" s="2"/>
      <c r="J68" s="3" t="n">
        <v>250</v>
      </c>
      <c r="K68" s="3" t="n">
        <v>6.5</v>
      </c>
      <c r="L68" s="4" t="n">
        <f aca="false">K68/J68</f>
        <v>0.026</v>
      </c>
      <c r="M68" s="3" t="n">
        <v>0.14</v>
      </c>
      <c r="N68" s="5" t="n">
        <f aca="false">IF(L68&gt;0,M68/L68,"-")</f>
        <v>5.38461538461539</v>
      </c>
      <c r="O68" s="6" t="n">
        <f aca="false">IF(M68&gt;0,(M68-L68)/M68,"-")</f>
        <v>0.814285714285714</v>
      </c>
      <c r="P68" s="2" t="n">
        <v>10</v>
      </c>
      <c r="Q68" s="2" t="n">
        <v>25</v>
      </c>
      <c r="R68" s="2" t="s">
        <v>221</v>
      </c>
      <c r="S68" s="2" t="s">
        <v>234</v>
      </c>
    </row>
    <row r="69" customFormat="false" ht="15" hidden="false" customHeight="false" outlineLevel="0" collapsed="false">
      <c r="A69" s="7" t="s">
        <v>235</v>
      </c>
      <c r="B69" s="7" t="s">
        <v>236</v>
      </c>
      <c r="C69" s="7" t="s">
        <v>237</v>
      </c>
      <c r="D69" s="7" t="s">
        <v>159</v>
      </c>
      <c r="E69" s="7" t="s">
        <v>238</v>
      </c>
      <c r="F69" s="7" t="s">
        <v>239</v>
      </c>
      <c r="G69" s="7" t="s">
        <v>44</v>
      </c>
      <c r="H69" s="7" t="n">
        <v>6</v>
      </c>
      <c r="I69" s="7"/>
      <c r="J69" s="8" t="n">
        <v>200</v>
      </c>
      <c r="K69" s="8" t="n">
        <v>5</v>
      </c>
      <c r="L69" s="9" t="n">
        <f aca="false">K69/J69</f>
        <v>0.025</v>
      </c>
      <c r="M69" s="8" t="n">
        <v>0.12</v>
      </c>
      <c r="N69" s="10" t="n">
        <f aca="false">IF(L69&gt;0,M69/L69,"-")</f>
        <v>4.8</v>
      </c>
      <c r="O69" s="11" t="n">
        <f aca="false">IF(M69&gt;0,(M69-L69)/M69,"-")</f>
        <v>0.791666666666667</v>
      </c>
      <c r="P69" s="7" t="n">
        <v>4</v>
      </c>
      <c r="Q69" s="7" t="n">
        <v>20</v>
      </c>
      <c r="R69" s="7" t="s">
        <v>110</v>
      </c>
      <c r="S69" s="7" t="s">
        <v>240</v>
      </c>
    </row>
    <row r="70" customFormat="false" ht="23.85" hidden="false" customHeight="false" outlineLevel="0" collapsed="false">
      <c r="A70" s="2" t="s">
        <v>241</v>
      </c>
      <c r="B70" s="2" t="s">
        <v>236</v>
      </c>
      <c r="C70" s="2" t="s">
        <v>237</v>
      </c>
      <c r="D70" s="2" t="s">
        <v>159</v>
      </c>
      <c r="E70" s="2" t="s">
        <v>242</v>
      </c>
      <c r="F70" s="2" t="s">
        <v>239</v>
      </c>
      <c r="G70" s="2" t="s">
        <v>44</v>
      </c>
      <c r="H70" s="2" t="n">
        <v>11</v>
      </c>
      <c r="I70" s="2"/>
      <c r="J70" s="3" t="n">
        <v>200</v>
      </c>
      <c r="K70" s="3" t="n">
        <v>5.5</v>
      </c>
      <c r="L70" s="4" t="n">
        <f aca="false">K70/J70</f>
        <v>0.0275</v>
      </c>
      <c r="M70" s="3" t="n">
        <v>0.14</v>
      </c>
      <c r="N70" s="5" t="n">
        <f aca="false">IF(L70&gt;0,M70/L70,"-")</f>
        <v>5.09090909090909</v>
      </c>
      <c r="O70" s="6" t="n">
        <f aca="false">IF(M70&gt;0,(M70-L70)/M70,"-")</f>
        <v>0.803571428571429</v>
      </c>
      <c r="P70" s="2" t="n">
        <v>4</v>
      </c>
      <c r="Q70" s="2" t="n">
        <v>20</v>
      </c>
      <c r="R70" s="2" t="s">
        <v>110</v>
      </c>
      <c r="S70" s="2" t="s">
        <v>243</v>
      </c>
    </row>
    <row r="71" customFormat="false" ht="15" hidden="false" customHeight="false" outlineLevel="0" collapsed="false">
      <c r="A71" s="7" t="s">
        <v>244</v>
      </c>
      <c r="B71" s="7" t="s">
        <v>236</v>
      </c>
      <c r="C71" s="7" t="s">
        <v>237</v>
      </c>
      <c r="D71" s="7" t="s">
        <v>245</v>
      </c>
      <c r="E71" s="7" t="s">
        <v>246</v>
      </c>
      <c r="F71" s="7" t="s">
        <v>247</v>
      </c>
      <c r="G71" s="7" t="s">
        <v>57</v>
      </c>
      <c r="H71" s="7" t="n">
        <v>6</v>
      </c>
      <c r="I71" s="7"/>
      <c r="J71" s="8" t="n">
        <v>200</v>
      </c>
      <c r="K71" s="8" t="n">
        <v>5</v>
      </c>
      <c r="L71" s="9" t="n">
        <f aca="false">K71/J71</f>
        <v>0.025</v>
      </c>
      <c r="M71" s="8" t="n">
        <v>0.12</v>
      </c>
      <c r="N71" s="10" t="n">
        <f aca="false">IF(L71&gt;0,M71/L71,"-")</f>
        <v>4.8</v>
      </c>
      <c r="O71" s="11" t="n">
        <f aca="false">IF(M71&gt;0,(M71-L71)/M71,"-")</f>
        <v>0.791666666666667</v>
      </c>
      <c r="P71" s="7" t="n">
        <v>4</v>
      </c>
      <c r="Q71" s="7" t="n">
        <v>20</v>
      </c>
      <c r="R71" s="7" t="s">
        <v>110</v>
      </c>
      <c r="S71" s="7"/>
    </row>
    <row r="72" customFormat="false" ht="15" hidden="false" customHeight="false" outlineLevel="0" collapsed="false">
      <c r="A72" s="2" t="s">
        <v>248</v>
      </c>
      <c r="B72" s="2" t="s">
        <v>236</v>
      </c>
      <c r="C72" s="2" t="s">
        <v>237</v>
      </c>
      <c r="D72" s="2" t="s">
        <v>133</v>
      </c>
      <c r="E72" s="2" t="s">
        <v>249</v>
      </c>
      <c r="F72" s="2" t="s">
        <v>247</v>
      </c>
      <c r="G72" s="2" t="s">
        <v>57</v>
      </c>
      <c r="H72" s="2" t="n">
        <v>10</v>
      </c>
      <c r="I72" s="2"/>
      <c r="J72" s="3" t="n">
        <v>200</v>
      </c>
      <c r="K72" s="3" t="n">
        <v>5.5</v>
      </c>
      <c r="L72" s="4" t="n">
        <f aca="false">K72/J72</f>
        <v>0.0275</v>
      </c>
      <c r="M72" s="3" t="n">
        <v>0.14</v>
      </c>
      <c r="N72" s="5" t="n">
        <f aca="false">IF(L72&gt;0,M72/L72,"-")</f>
        <v>5.09090909090909</v>
      </c>
      <c r="O72" s="6" t="n">
        <f aca="false">IF(M72&gt;0,(M72-L72)/M72,"-")</f>
        <v>0.803571428571429</v>
      </c>
      <c r="P72" s="2" t="n">
        <v>4</v>
      </c>
      <c r="Q72" s="2" t="n">
        <v>20</v>
      </c>
      <c r="R72" s="2" t="s">
        <v>110</v>
      </c>
      <c r="S72" s="2" t="s">
        <v>250</v>
      </c>
    </row>
    <row r="73" customFormat="false" ht="15" hidden="false" customHeight="false" outlineLevel="0" collapsed="false">
      <c r="A73" s="7" t="s">
        <v>251</v>
      </c>
      <c r="B73" s="7" t="s">
        <v>236</v>
      </c>
      <c r="C73" s="7" t="s">
        <v>237</v>
      </c>
      <c r="D73" s="7" t="s">
        <v>140</v>
      </c>
      <c r="E73" s="7" t="s">
        <v>252</v>
      </c>
      <c r="F73" s="7" t="s">
        <v>247</v>
      </c>
      <c r="G73" s="7" t="s">
        <v>57</v>
      </c>
      <c r="H73" s="7" t="n">
        <v>20</v>
      </c>
      <c r="I73" s="7"/>
      <c r="J73" s="8" t="n">
        <v>200</v>
      </c>
      <c r="K73" s="8" t="n">
        <v>6</v>
      </c>
      <c r="L73" s="9" t="n">
        <f aca="false">K73/J73</f>
        <v>0.03</v>
      </c>
      <c r="M73" s="8" t="n">
        <v>0.16</v>
      </c>
      <c r="N73" s="10" t="n">
        <f aca="false">IF(L73&gt;0,M73/L73,"-")</f>
        <v>5.33333333333333</v>
      </c>
      <c r="O73" s="11" t="n">
        <f aca="false">IF(M73&gt;0,(M73-L73)/M73,"-")</f>
        <v>0.8125</v>
      </c>
      <c r="P73" s="7" t="n">
        <v>4</v>
      </c>
      <c r="Q73" s="7" t="n">
        <v>20</v>
      </c>
      <c r="R73" s="7" t="s">
        <v>110</v>
      </c>
      <c r="S73" s="7" t="s">
        <v>253</v>
      </c>
    </row>
    <row r="74" customFormat="false" ht="15" hidden="false" customHeight="false" outlineLevel="0" collapsed="false">
      <c r="A74" s="2" t="s">
        <v>254</v>
      </c>
      <c r="B74" s="2" t="s">
        <v>236</v>
      </c>
      <c r="C74" s="2" t="s">
        <v>237</v>
      </c>
      <c r="D74" s="2" t="s">
        <v>140</v>
      </c>
      <c r="E74" s="2" t="s">
        <v>255</v>
      </c>
      <c r="F74" s="2" t="s">
        <v>247</v>
      </c>
      <c r="G74" s="2" t="s">
        <v>57</v>
      </c>
      <c r="H74" s="2" t="n">
        <v>25</v>
      </c>
      <c r="I74" s="2"/>
      <c r="J74" s="3" t="n">
        <v>200</v>
      </c>
      <c r="K74" s="3" t="n">
        <v>6.5</v>
      </c>
      <c r="L74" s="4" t="n">
        <f aca="false">K74/J74</f>
        <v>0.0325</v>
      </c>
      <c r="M74" s="3" t="n">
        <v>0.18</v>
      </c>
      <c r="N74" s="5" t="n">
        <f aca="false">IF(L74&gt;0,M74/L74,"-")</f>
        <v>5.53846153846154</v>
      </c>
      <c r="O74" s="6" t="n">
        <f aca="false">IF(M74&gt;0,(M74-L74)/M74,"-")</f>
        <v>0.819444444444444</v>
      </c>
      <c r="P74" s="2" t="n">
        <v>4</v>
      </c>
      <c r="Q74" s="2" t="n">
        <v>20</v>
      </c>
      <c r="R74" s="2" t="s">
        <v>110</v>
      </c>
      <c r="S74" s="2" t="s">
        <v>256</v>
      </c>
    </row>
    <row r="75" customFormat="false" ht="15" hidden="false" customHeight="false" outlineLevel="0" collapsed="false">
      <c r="A75" s="7" t="s">
        <v>257</v>
      </c>
      <c r="B75" s="7" t="s">
        <v>236</v>
      </c>
      <c r="C75" s="7" t="s">
        <v>237</v>
      </c>
      <c r="D75" s="7" t="s">
        <v>140</v>
      </c>
      <c r="E75" s="7" t="s">
        <v>258</v>
      </c>
      <c r="F75" s="7" t="s">
        <v>247</v>
      </c>
      <c r="G75" s="7" t="s">
        <v>57</v>
      </c>
      <c r="H75" s="7" t="n">
        <v>30</v>
      </c>
      <c r="I75" s="7"/>
      <c r="J75" s="8" t="n">
        <v>100</v>
      </c>
      <c r="K75" s="8" t="n">
        <v>4</v>
      </c>
      <c r="L75" s="9" t="n">
        <f aca="false">K75/J75</f>
        <v>0.04</v>
      </c>
      <c r="M75" s="8" t="n">
        <v>0.2</v>
      </c>
      <c r="N75" s="10" t="n">
        <f aca="false">IF(L75&gt;0,M75/L75,"-")</f>
        <v>5</v>
      </c>
      <c r="O75" s="11" t="n">
        <f aca="false">IF(M75&gt;0,(M75-L75)/M75,"-")</f>
        <v>0.8</v>
      </c>
      <c r="P75" s="7" t="n">
        <v>4</v>
      </c>
      <c r="Q75" s="7" t="n">
        <v>10</v>
      </c>
      <c r="R75" s="7" t="s">
        <v>110</v>
      </c>
      <c r="S75" s="7"/>
    </row>
    <row r="76" customFormat="false" ht="23.85" hidden="false" customHeight="false" outlineLevel="0" collapsed="false">
      <c r="A76" s="2" t="s">
        <v>259</v>
      </c>
      <c r="B76" s="2" t="s">
        <v>236</v>
      </c>
      <c r="C76" s="2" t="s">
        <v>260</v>
      </c>
      <c r="D76" s="2" t="s">
        <v>159</v>
      </c>
      <c r="E76" s="2" t="s">
        <v>261</v>
      </c>
      <c r="F76" s="2" t="s">
        <v>262</v>
      </c>
      <c r="G76" s="2" t="s">
        <v>44</v>
      </c>
      <c r="H76" s="2" t="n">
        <v>6</v>
      </c>
      <c r="I76" s="2"/>
      <c r="J76" s="3" t="n">
        <v>200</v>
      </c>
      <c r="K76" s="3" t="n">
        <v>3</v>
      </c>
      <c r="L76" s="4" t="n">
        <f aca="false">K76/J76</f>
        <v>0.015</v>
      </c>
      <c r="M76" s="3" t="n">
        <v>0.08</v>
      </c>
      <c r="N76" s="5" t="n">
        <f aca="false">IF(L76&gt;0,M76/L76,"-")</f>
        <v>5.33333333333333</v>
      </c>
      <c r="O76" s="6" t="n">
        <f aca="false">IF(M76&gt;0,(M76-L76)/M76,"-")</f>
        <v>0.8125</v>
      </c>
      <c r="P76" s="2" t="n">
        <v>4</v>
      </c>
      <c r="Q76" s="2" t="n">
        <v>20</v>
      </c>
      <c r="R76" s="2" t="s">
        <v>184</v>
      </c>
      <c r="S76" s="2" t="s">
        <v>263</v>
      </c>
    </row>
    <row r="77" customFormat="false" ht="23.85" hidden="false" customHeight="false" outlineLevel="0" collapsed="false">
      <c r="A77" s="7" t="s">
        <v>264</v>
      </c>
      <c r="B77" s="7" t="s">
        <v>236</v>
      </c>
      <c r="C77" s="7" t="s">
        <v>260</v>
      </c>
      <c r="D77" s="7" t="s">
        <v>159</v>
      </c>
      <c r="E77" s="7" t="s">
        <v>265</v>
      </c>
      <c r="F77" s="7" t="s">
        <v>262</v>
      </c>
      <c r="G77" s="7" t="s">
        <v>44</v>
      </c>
      <c r="H77" s="7" t="n">
        <v>11</v>
      </c>
      <c r="I77" s="7"/>
      <c r="J77" s="8" t="n">
        <v>200</v>
      </c>
      <c r="K77" s="8" t="n">
        <v>3.5</v>
      </c>
      <c r="L77" s="9" t="n">
        <f aca="false">K77/J77</f>
        <v>0.0175</v>
      </c>
      <c r="M77" s="8" t="n">
        <v>0.1</v>
      </c>
      <c r="N77" s="10" t="n">
        <f aca="false">IF(L77&gt;0,M77/L77,"-")</f>
        <v>5.71428571428571</v>
      </c>
      <c r="O77" s="11" t="n">
        <f aca="false">IF(M77&gt;0,(M77-L77)/M77,"-")</f>
        <v>0.825</v>
      </c>
      <c r="P77" s="7" t="n">
        <v>4</v>
      </c>
      <c r="Q77" s="7" t="n">
        <v>20</v>
      </c>
      <c r="R77" s="7" t="s">
        <v>184</v>
      </c>
      <c r="S77" s="7"/>
    </row>
    <row r="78" customFormat="false" ht="15" hidden="false" customHeight="false" outlineLevel="0" collapsed="false">
      <c r="A78" s="2" t="s">
        <v>266</v>
      </c>
      <c r="B78" s="2" t="s">
        <v>236</v>
      </c>
      <c r="C78" s="2" t="s">
        <v>260</v>
      </c>
      <c r="D78" s="2" t="s">
        <v>42</v>
      </c>
      <c r="E78" s="2" t="s">
        <v>267</v>
      </c>
      <c r="F78" s="2" t="s">
        <v>262</v>
      </c>
      <c r="G78" s="2" t="s">
        <v>57</v>
      </c>
      <c r="H78" s="2" t="n">
        <v>6</v>
      </c>
      <c r="I78" s="2"/>
      <c r="J78" s="3" t="n">
        <v>200</v>
      </c>
      <c r="K78" s="3" t="n">
        <v>3</v>
      </c>
      <c r="L78" s="4" t="n">
        <f aca="false">K78/J78</f>
        <v>0.015</v>
      </c>
      <c r="M78" s="3" t="n">
        <v>0.08</v>
      </c>
      <c r="N78" s="5" t="n">
        <f aca="false">IF(L78&gt;0,M78/L78,"-")</f>
        <v>5.33333333333333</v>
      </c>
      <c r="O78" s="6" t="n">
        <f aca="false">IF(M78&gt;0,(M78-L78)/M78,"-")</f>
        <v>0.8125</v>
      </c>
      <c r="P78" s="2" t="n">
        <v>4</v>
      </c>
      <c r="Q78" s="2" t="n">
        <v>20</v>
      </c>
      <c r="R78" s="2" t="s">
        <v>184</v>
      </c>
      <c r="S78" s="2" t="s">
        <v>268</v>
      </c>
    </row>
    <row r="79" customFormat="false" ht="23.85" hidden="false" customHeight="false" outlineLevel="0" collapsed="false">
      <c r="A79" s="7" t="s">
        <v>269</v>
      </c>
      <c r="B79" s="7" t="s">
        <v>236</v>
      </c>
      <c r="C79" s="7" t="s">
        <v>260</v>
      </c>
      <c r="D79" s="7" t="s">
        <v>42</v>
      </c>
      <c r="E79" s="7" t="s">
        <v>270</v>
      </c>
      <c r="F79" s="7" t="s">
        <v>262</v>
      </c>
      <c r="G79" s="7" t="s">
        <v>57</v>
      </c>
      <c r="H79" s="7" t="n">
        <v>10</v>
      </c>
      <c r="I79" s="7"/>
      <c r="J79" s="8" t="n">
        <v>200</v>
      </c>
      <c r="K79" s="8" t="n">
        <v>3.5</v>
      </c>
      <c r="L79" s="9" t="n">
        <f aca="false">K79/J79</f>
        <v>0.0175</v>
      </c>
      <c r="M79" s="8" t="n">
        <v>0.1</v>
      </c>
      <c r="N79" s="10" t="n">
        <f aca="false">IF(L79&gt;0,M79/L79,"-")</f>
        <v>5.71428571428571</v>
      </c>
      <c r="O79" s="11" t="n">
        <f aca="false">IF(M79&gt;0,(M79-L79)/M79,"-")</f>
        <v>0.825</v>
      </c>
      <c r="P79" s="7" t="n">
        <v>4</v>
      </c>
      <c r="Q79" s="7" t="n">
        <v>20</v>
      </c>
      <c r="R79" s="7" t="s">
        <v>184</v>
      </c>
      <c r="S79" s="7"/>
    </row>
    <row r="80" customFormat="false" ht="23.85" hidden="false" customHeight="false" outlineLevel="0" collapsed="false">
      <c r="A80" s="2" t="s">
        <v>271</v>
      </c>
      <c r="B80" s="2" t="s">
        <v>236</v>
      </c>
      <c r="C80" s="2" t="s">
        <v>260</v>
      </c>
      <c r="D80" s="2" t="s">
        <v>159</v>
      </c>
      <c r="E80" s="2" t="s">
        <v>272</v>
      </c>
      <c r="F80" s="2" t="s">
        <v>262</v>
      </c>
      <c r="G80" s="2" t="s">
        <v>57</v>
      </c>
      <c r="H80" s="2" t="n">
        <v>15</v>
      </c>
      <c r="I80" s="2"/>
      <c r="J80" s="3" t="n">
        <v>100</v>
      </c>
      <c r="K80" s="3" t="n">
        <v>2.5</v>
      </c>
      <c r="L80" s="4" t="n">
        <f aca="false">K80/J80</f>
        <v>0.025</v>
      </c>
      <c r="M80" s="3" t="n">
        <v>0.12</v>
      </c>
      <c r="N80" s="5" t="n">
        <f aca="false">IF(L80&gt;0,M80/L80,"-")</f>
        <v>4.8</v>
      </c>
      <c r="O80" s="6" t="n">
        <f aca="false">IF(M80&gt;0,(M80-L80)/M80,"-")</f>
        <v>0.791666666666667</v>
      </c>
      <c r="P80" s="2" t="n">
        <v>4</v>
      </c>
      <c r="Q80" s="2" t="n">
        <v>10</v>
      </c>
      <c r="R80" s="2" t="s">
        <v>184</v>
      </c>
      <c r="S80" s="2"/>
    </row>
    <row r="81" customFormat="false" ht="15" hidden="false" customHeight="false" outlineLevel="0" collapsed="false">
      <c r="A81" s="7" t="s">
        <v>273</v>
      </c>
      <c r="B81" s="7" t="s">
        <v>20</v>
      </c>
      <c r="C81" s="7" t="s">
        <v>274</v>
      </c>
      <c r="D81" s="7" t="s">
        <v>159</v>
      </c>
      <c r="E81" s="7" t="s">
        <v>275</v>
      </c>
      <c r="F81" s="7" t="s">
        <v>262</v>
      </c>
      <c r="G81" s="7" t="s">
        <v>44</v>
      </c>
      <c r="H81" s="7" t="n">
        <v>6</v>
      </c>
      <c r="I81" s="7" t="s">
        <v>148</v>
      </c>
      <c r="J81" s="8" t="n">
        <v>200</v>
      </c>
      <c r="K81" s="8" t="n">
        <v>2</v>
      </c>
      <c r="L81" s="9" t="n">
        <f aca="false">K81/J81</f>
        <v>0.01</v>
      </c>
      <c r="M81" s="8" t="n">
        <v>0.05</v>
      </c>
      <c r="N81" s="10" t="n">
        <f aca="false">IF(L81&gt;0,M81/L81,"-")</f>
        <v>5</v>
      </c>
      <c r="O81" s="11" t="n">
        <f aca="false">IF(M81&gt;0,(M81-L81)/M81,"-")</f>
        <v>0.8</v>
      </c>
      <c r="P81" s="7" t="n">
        <v>10</v>
      </c>
      <c r="Q81" s="7" t="n">
        <v>20</v>
      </c>
      <c r="R81" s="7" t="s">
        <v>184</v>
      </c>
      <c r="S81" s="7" t="s">
        <v>276</v>
      </c>
    </row>
    <row r="82" customFormat="false" ht="15" hidden="false" customHeight="false" outlineLevel="0" collapsed="false">
      <c r="A82" s="2" t="s">
        <v>277</v>
      </c>
      <c r="B82" s="2" t="s">
        <v>20</v>
      </c>
      <c r="C82" s="2" t="s">
        <v>274</v>
      </c>
      <c r="D82" s="2" t="s">
        <v>42</v>
      </c>
      <c r="E82" s="2" t="s">
        <v>278</v>
      </c>
      <c r="F82" s="2" t="s">
        <v>262</v>
      </c>
      <c r="G82" s="2" t="s">
        <v>57</v>
      </c>
      <c r="H82" s="2" t="n">
        <v>6</v>
      </c>
      <c r="I82" s="2" t="s">
        <v>148</v>
      </c>
      <c r="J82" s="3" t="n">
        <v>200</v>
      </c>
      <c r="K82" s="3" t="n">
        <v>2</v>
      </c>
      <c r="L82" s="4" t="n">
        <f aca="false">K82/J82</f>
        <v>0.01</v>
      </c>
      <c r="M82" s="3" t="n">
        <v>0.05</v>
      </c>
      <c r="N82" s="5" t="n">
        <f aca="false">IF(L82&gt;0,M82/L82,"-")</f>
        <v>5</v>
      </c>
      <c r="O82" s="6" t="n">
        <f aca="false">IF(M82&gt;0,(M82-L82)/M82,"-")</f>
        <v>0.8</v>
      </c>
      <c r="P82" s="2" t="n">
        <v>10</v>
      </c>
      <c r="Q82" s="2" t="n">
        <v>20</v>
      </c>
      <c r="R82" s="2" t="s">
        <v>184</v>
      </c>
      <c r="S82" s="2"/>
    </row>
    <row r="83" customFormat="false" ht="15" hidden="false" customHeight="false" outlineLevel="0" collapsed="false">
      <c r="A83" s="7" t="s">
        <v>279</v>
      </c>
      <c r="B83" s="7" t="s">
        <v>20</v>
      </c>
      <c r="C83" s="7" t="s">
        <v>274</v>
      </c>
      <c r="D83" s="7" t="s">
        <v>159</v>
      </c>
      <c r="E83" s="7" t="s">
        <v>280</v>
      </c>
      <c r="F83" s="7" t="s">
        <v>262</v>
      </c>
      <c r="G83" s="7" t="s">
        <v>57</v>
      </c>
      <c r="H83" s="7" t="n">
        <v>10</v>
      </c>
      <c r="I83" s="7" t="s">
        <v>148</v>
      </c>
      <c r="J83" s="8" t="n">
        <v>200</v>
      </c>
      <c r="K83" s="8" t="n">
        <v>2.25</v>
      </c>
      <c r="L83" s="9" t="n">
        <f aca="false">K83/J83</f>
        <v>0.01125</v>
      </c>
      <c r="M83" s="8" t="n">
        <v>0.06</v>
      </c>
      <c r="N83" s="10" t="n">
        <f aca="false">IF(L83&gt;0,M83/L83,"-")</f>
        <v>5.33333333333333</v>
      </c>
      <c r="O83" s="11" t="n">
        <f aca="false">IF(M83&gt;0,(M83-L83)/M83,"-")</f>
        <v>0.8125</v>
      </c>
      <c r="P83" s="7" t="n">
        <v>10</v>
      </c>
      <c r="Q83" s="7" t="n">
        <v>20</v>
      </c>
      <c r="R83" s="7" t="s">
        <v>184</v>
      </c>
      <c r="S83" s="7"/>
    </row>
    <row r="84" customFormat="false" ht="15" hidden="false" customHeight="false" outlineLevel="0" collapsed="false">
      <c r="A84" s="2" t="s">
        <v>281</v>
      </c>
      <c r="B84" s="2" t="s">
        <v>155</v>
      </c>
      <c r="C84" s="2" t="s">
        <v>282</v>
      </c>
      <c r="D84" s="2" t="s">
        <v>159</v>
      </c>
      <c r="E84" s="2" t="s">
        <v>283</v>
      </c>
      <c r="F84" s="2" t="s">
        <v>262</v>
      </c>
      <c r="G84" s="2" t="s">
        <v>44</v>
      </c>
      <c r="H84" s="2"/>
      <c r="I84" s="2"/>
      <c r="J84" s="3" t="n">
        <v>200</v>
      </c>
      <c r="K84" s="3" t="n">
        <v>1.5</v>
      </c>
      <c r="L84" s="4" t="n">
        <f aca="false">K84/J84</f>
        <v>0.0075</v>
      </c>
      <c r="M84" s="3" t="n">
        <v>0.04</v>
      </c>
      <c r="N84" s="5" t="n">
        <f aca="false">IF(L84&gt;0,M84/L84,"-")</f>
        <v>5.33333333333333</v>
      </c>
      <c r="O84" s="6" t="n">
        <f aca="false">IF(M84&gt;0,(M84-L84)/M84,"-")</f>
        <v>0.8125</v>
      </c>
      <c r="P84" s="2" t="n">
        <v>10</v>
      </c>
      <c r="Q84" s="2" t="n">
        <v>20</v>
      </c>
      <c r="R84" s="2" t="s">
        <v>184</v>
      </c>
      <c r="S84" s="2"/>
    </row>
    <row r="85" customFormat="false" ht="15" hidden="false" customHeight="false" outlineLevel="0" collapsed="false">
      <c r="A85" s="7" t="s">
        <v>284</v>
      </c>
      <c r="B85" s="7" t="s">
        <v>155</v>
      </c>
      <c r="C85" s="7" t="s">
        <v>282</v>
      </c>
      <c r="D85" s="7" t="s">
        <v>42</v>
      </c>
      <c r="E85" s="7" t="s">
        <v>285</v>
      </c>
      <c r="F85" s="7" t="s">
        <v>262</v>
      </c>
      <c r="G85" s="7" t="s">
        <v>57</v>
      </c>
      <c r="H85" s="7"/>
      <c r="I85" s="7"/>
      <c r="J85" s="8" t="n">
        <v>200</v>
      </c>
      <c r="K85" s="8" t="n">
        <v>1.5</v>
      </c>
      <c r="L85" s="9" t="n">
        <f aca="false">K85/J85</f>
        <v>0.0075</v>
      </c>
      <c r="M85" s="8" t="n">
        <v>0.04</v>
      </c>
      <c r="N85" s="10" t="n">
        <f aca="false">IF(L85&gt;0,M85/L85,"-")</f>
        <v>5.33333333333333</v>
      </c>
      <c r="O85" s="11" t="n">
        <f aca="false">IF(M85&gt;0,(M85-L85)/M85,"-")</f>
        <v>0.8125</v>
      </c>
      <c r="P85" s="7" t="n">
        <v>10</v>
      </c>
      <c r="Q85" s="7" t="n">
        <v>20</v>
      </c>
      <c r="R85" s="7" t="s">
        <v>184</v>
      </c>
      <c r="S85" s="7"/>
    </row>
    <row r="86" customFormat="false" ht="15" hidden="false" customHeight="false" outlineLevel="0" collapsed="false">
      <c r="A86" s="2" t="s">
        <v>286</v>
      </c>
      <c r="B86" s="2" t="s">
        <v>155</v>
      </c>
      <c r="C86" s="2" t="s">
        <v>287</v>
      </c>
      <c r="D86" s="2" t="s">
        <v>140</v>
      </c>
      <c r="E86" s="2" t="s">
        <v>288</v>
      </c>
      <c r="F86" s="2" t="s">
        <v>289</v>
      </c>
      <c r="G86" s="2" t="s">
        <v>57</v>
      </c>
      <c r="H86" s="2"/>
      <c r="I86" s="2"/>
      <c r="J86" s="3" t="n">
        <v>200</v>
      </c>
      <c r="K86" s="3" t="n">
        <v>6</v>
      </c>
      <c r="L86" s="4" t="n">
        <f aca="false">K86/J86</f>
        <v>0.03</v>
      </c>
      <c r="M86" s="3" t="n">
        <v>0.15</v>
      </c>
      <c r="N86" s="5" t="n">
        <f aca="false">IF(L86&gt;0,M86/L86,"-")</f>
        <v>5</v>
      </c>
      <c r="O86" s="6" t="n">
        <f aca="false">IF(M86&gt;0,(M86-L86)/M86,"-")</f>
        <v>0.8</v>
      </c>
      <c r="P86" s="2" t="n">
        <v>4</v>
      </c>
      <c r="Q86" s="2" t="n">
        <v>20</v>
      </c>
      <c r="R86" s="2" t="s">
        <v>290</v>
      </c>
      <c r="S86" s="2" t="s">
        <v>291</v>
      </c>
    </row>
    <row r="87" customFormat="false" ht="15" hidden="false" customHeight="false" outlineLevel="0" collapsed="false">
      <c r="A87" s="7" t="s">
        <v>292</v>
      </c>
      <c r="B87" s="7" t="s">
        <v>20</v>
      </c>
      <c r="C87" s="7" t="s">
        <v>293</v>
      </c>
      <c r="D87" s="7" t="s">
        <v>70</v>
      </c>
      <c r="E87" s="7" t="s">
        <v>294</v>
      </c>
      <c r="F87" s="7" t="s">
        <v>24</v>
      </c>
      <c r="G87" s="7" t="s">
        <v>57</v>
      </c>
      <c r="H87" s="7" t="n">
        <v>3</v>
      </c>
      <c r="I87" s="7" t="s">
        <v>26</v>
      </c>
      <c r="J87" s="8" t="n">
        <v>500</v>
      </c>
      <c r="K87" s="8" t="n">
        <v>4.5</v>
      </c>
      <c r="L87" s="9" t="n">
        <f aca="false">K87/J87</f>
        <v>0.009</v>
      </c>
      <c r="M87" s="8" t="n">
        <v>0.05</v>
      </c>
      <c r="N87" s="10" t="n">
        <f aca="false">IF(L87&gt;0,M87/L87,"-")</f>
        <v>5.55555555555556</v>
      </c>
      <c r="O87" s="11" t="n">
        <f aca="false">IF(M87&gt;0,(M87-L87)/M87,"-")</f>
        <v>0.82</v>
      </c>
      <c r="P87" s="7" t="n">
        <v>5</v>
      </c>
      <c r="Q87" s="7" t="n">
        <v>50</v>
      </c>
      <c r="R87" s="7" t="s">
        <v>27</v>
      </c>
      <c r="S87" s="7" t="s">
        <v>295</v>
      </c>
    </row>
    <row r="88" customFormat="false" ht="15" hidden="false" customHeight="false" outlineLevel="0" collapsed="false">
      <c r="A88" s="2" t="s">
        <v>296</v>
      </c>
      <c r="B88" s="2" t="s">
        <v>20</v>
      </c>
      <c r="C88" s="2" t="s">
        <v>293</v>
      </c>
      <c r="D88" s="2" t="s">
        <v>70</v>
      </c>
      <c r="E88" s="2" t="s">
        <v>297</v>
      </c>
      <c r="F88" s="2" t="s">
        <v>24</v>
      </c>
      <c r="G88" s="2" t="s">
        <v>57</v>
      </c>
      <c r="H88" s="2" t="n">
        <v>5</v>
      </c>
      <c r="I88" s="2" t="s">
        <v>26</v>
      </c>
      <c r="J88" s="3" t="n">
        <v>500</v>
      </c>
      <c r="K88" s="3" t="n">
        <v>4.5</v>
      </c>
      <c r="L88" s="4" t="n">
        <f aca="false">K88/J88</f>
        <v>0.009</v>
      </c>
      <c r="M88" s="3" t="n">
        <v>0.05</v>
      </c>
      <c r="N88" s="5" t="n">
        <f aca="false">IF(L88&gt;0,M88/L88,"-")</f>
        <v>5.55555555555556</v>
      </c>
      <c r="O88" s="6" t="n">
        <f aca="false">IF(M88&gt;0,(M88-L88)/M88,"-")</f>
        <v>0.82</v>
      </c>
      <c r="P88" s="2" t="n">
        <v>5</v>
      </c>
      <c r="Q88" s="2" t="n">
        <v>50</v>
      </c>
      <c r="R88" s="2" t="s">
        <v>27</v>
      </c>
      <c r="S88" s="2"/>
    </row>
    <row r="89" customFormat="false" ht="15" hidden="false" customHeight="false" outlineLevel="0" collapsed="false">
      <c r="A89" s="7" t="s">
        <v>298</v>
      </c>
      <c r="B89" s="7" t="s">
        <v>20</v>
      </c>
      <c r="C89" s="7" t="s">
        <v>293</v>
      </c>
      <c r="D89" s="7" t="s">
        <v>70</v>
      </c>
      <c r="E89" s="7" t="s">
        <v>299</v>
      </c>
      <c r="F89" s="7" t="s">
        <v>24</v>
      </c>
      <c r="G89" s="7" t="s">
        <v>85</v>
      </c>
      <c r="H89" s="7" t="n">
        <v>4</v>
      </c>
      <c r="I89" s="7" t="s">
        <v>45</v>
      </c>
      <c r="J89" s="8" t="n">
        <v>250</v>
      </c>
      <c r="K89" s="8" t="n">
        <v>3</v>
      </c>
      <c r="L89" s="9" t="n">
        <f aca="false">K89/J89</f>
        <v>0.012</v>
      </c>
      <c r="M89" s="8" t="n">
        <v>0.06</v>
      </c>
      <c r="N89" s="10" t="n">
        <f aca="false">IF(L89&gt;0,M89/L89,"-")</f>
        <v>5</v>
      </c>
      <c r="O89" s="11" t="n">
        <f aca="false">IF(M89&gt;0,(M89-L89)/M89,"-")</f>
        <v>0.8</v>
      </c>
      <c r="P89" s="7" t="n">
        <v>5</v>
      </c>
      <c r="Q89" s="7" t="n">
        <v>25</v>
      </c>
      <c r="R89" s="7" t="s">
        <v>27</v>
      </c>
      <c r="S89" s="7" t="s">
        <v>68</v>
      </c>
    </row>
    <row r="90" customFormat="false" ht="15" hidden="false" customHeight="false" outlineLevel="0" collapsed="false">
      <c r="A90" s="2" t="s">
        <v>300</v>
      </c>
      <c r="B90" s="2" t="s">
        <v>20</v>
      </c>
      <c r="C90" s="2" t="s">
        <v>301</v>
      </c>
      <c r="D90" s="2" t="s">
        <v>70</v>
      </c>
      <c r="E90" s="2" t="s">
        <v>302</v>
      </c>
      <c r="F90" s="2" t="s">
        <v>24</v>
      </c>
      <c r="G90" s="2" t="s">
        <v>57</v>
      </c>
      <c r="H90" s="2" t="n">
        <v>8</v>
      </c>
      <c r="I90" s="2" t="s">
        <v>303</v>
      </c>
      <c r="J90" s="3" t="n">
        <v>100</v>
      </c>
      <c r="K90" s="3" t="n">
        <v>5</v>
      </c>
      <c r="L90" s="4" t="n">
        <f aca="false">K90/J90</f>
        <v>0.05</v>
      </c>
      <c r="M90" s="3" t="n">
        <v>0.2</v>
      </c>
      <c r="N90" s="5" t="n">
        <f aca="false">IF(L90&gt;0,M90/L90,"-")</f>
        <v>4</v>
      </c>
      <c r="O90" s="6" t="n">
        <f aca="false">IF(M90&gt;0,(M90-L90)/M90,"-")</f>
        <v>0.75</v>
      </c>
      <c r="P90" s="2" t="n">
        <v>2</v>
      </c>
      <c r="Q90" s="2" t="n">
        <v>10</v>
      </c>
      <c r="R90" s="2" t="s">
        <v>110</v>
      </c>
      <c r="S90" s="2" t="s">
        <v>304</v>
      </c>
    </row>
    <row r="91" customFormat="false" ht="15" hidden="false" customHeight="false" outlineLevel="0" collapsed="false">
      <c r="A91" s="7" t="s">
        <v>305</v>
      </c>
      <c r="B91" s="7" t="s">
        <v>20</v>
      </c>
      <c r="C91" s="7" t="s">
        <v>301</v>
      </c>
      <c r="D91" s="7" t="s">
        <v>70</v>
      </c>
      <c r="E91" s="7" t="s">
        <v>306</v>
      </c>
      <c r="F91" s="7" t="s">
        <v>24</v>
      </c>
      <c r="G91" s="7" t="s">
        <v>85</v>
      </c>
      <c r="H91" s="7" t="n">
        <v>6</v>
      </c>
      <c r="I91" s="7" t="s">
        <v>303</v>
      </c>
      <c r="J91" s="8" t="n">
        <v>100</v>
      </c>
      <c r="K91" s="8" t="n">
        <v>5.5</v>
      </c>
      <c r="L91" s="9" t="n">
        <f aca="false">K91/J91</f>
        <v>0.055</v>
      </c>
      <c r="M91" s="8" t="n">
        <v>0.22</v>
      </c>
      <c r="N91" s="10" t="n">
        <f aca="false">IF(L91&gt;0,M91/L91,"-")</f>
        <v>4</v>
      </c>
      <c r="O91" s="11" t="n">
        <f aca="false">IF(M91&gt;0,(M91-L91)/M91,"-")</f>
        <v>0.75</v>
      </c>
      <c r="P91" s="7" t="n">
        <v>2</v>
      </c>
      <c r="Q91" s="7" t="n">
        <v>10</v>
      </c>
      <c r="R91" s="7" t="s">
        <v>110</v>
      </c>
      <c r="S91" s="7" t="s">
        <v>307</v>
      </c>
    </row>
    <row r="92" customFormat="false" ht="15" hidden="false" customHeight="false" outlineLevel="0" collapsed="false">
      <c r="A92" s="2" t="s">
        <v>308</v>
      </c>
      <c r="B92" s="2" t="s">
        <v>309</v>
      </c>
      <c r="C92" s="2" t="s">
        <v>310</v>
      </c>
      <c r="D92" s="2" t="s">
        <v>70</v>
      </c>
      <c r="E92" s="2" t="s">
        <v>311</v>
      </c>
      <c r="F92" s="2" t="s">
        <v>24</v>
      </c>
      <c r="G92" s="2" t="s">
        <v>312</v>
      </c>
      <c r="H92" s="2" t="n">
        <v>16</v>
      </c>
      <c r="I92" s="2"/>
      <c r="J92" s="3" t="n">
        <v>100</v>
      </c>
      <c r="K92" s="3" t="n">
        <v>3</v>
      </c>
      <c r="L92" s="4" t="n">
        <f aca="false">K92/J92</f>
        <v>0.03</v>
      </c>
      <c r="M92" s="3" t="n">
        <v>0.12</v>
      </c>
      <c r="N92" s="5" t="n">
        <f aca="false">IF(L92&gt;0,M92/L92,"-")</f>
        <v>4</v>
      </c>
      <c r="O92" s="6" t="n">
        <f aca="false">IF(M92&gt;0,(M92-L92)/M92,"-")</f>
        <v>0.75</v>
      </c>
      <c r="P92" s="2" t="n">
        <v>4</v>
      </c>
      <c r="Q92" s="2" t="n">
        <v>10</v>
      </c>
      <c r="R92" s="2" t="s">
        <v>27</v>
      </c>
      <c r="S92" s="2" t="s">
        <v>313</v>
      </c>
    </row>
    <row r="93" customFormat="false" ht="15" hidden="false" customHeight="false" outlineLevel="0" collapsed="false">
      <c r="A93" s="7" t="s">
        <v>314</v>
      </c>
      <c r="B93" s="7" t="s">
        <v>309</v>
      </c>
      <c r="C93" s="7" t="s">
        <v>310</v>
      </c>
      <c r="D93" s="7" t="s">
        <v>70</v>
      </c>
      <c r="E93" s="7" t="s">
        <v>315</v>
      </c>
      <c r="F93" s="7" t="s">
        <v>24</v>
      </c>
      <c r="G93" s="7" t="s">
        <v>316</v>
      </c>
      <c r="H93" s="7" t="n">
        <v>40</v>
      </c>
      <c r="I93" s="7"/>
      <c r="J93" s="8" t="n">
        <v>50</v>
      </c>
      <c r="K93" s="8" t="n">
        <v>3</v>
      </c>
      <c r="L93" s="9" t="n">
        <f aca="false">K93/J93</f>
        <v>0.06</v>
      </c>
      <c r="M93" s="8" t="n">
        <v>0.2</v>
      </c>
      <c r="N93" s="10" t="n">
        <f aca="false">IF(L93&gt;0,M93/L93,"-")</f>
        <v>3.33333333333333</v>
      </c>
      <c r="O93" s="11" t="n">
        <f aca="false">IF(M93&gt;0,(M93-L93)/M93,"-")</f>
        <v>0.7</v>
      </c>
      <c r="P93" s="7" t="n">
        <v>4</v>
      </c>
      <c r="Q93" s="7" t="n">
        <v>5</v>
      </c>
      <c r="R93" s="7" t="s">
        <v>27</v>
      </c>
      <c r="S93" s="7" t="s">
        <v>68</v>
      </c>
    </row>
    <row r="94" customFormat="false" ht="23.85" hidden="false" customHeight="false" outlineLevel="0" collapsed="false">
      <c r="A94" s="2" t="s">
        <v>317</v>
      </c>
      <c r="B94" s="2" t="s">
        <v>318</v>
      </c>
      <c r="C94" s="2" t="s">
        <v>319</v>
      </c>
      <c r="D94" s="2" t="s">
        <v>70</v>
      </c>
      <c r="E94" s="2" t="s">
        <v>320</v>
      </c>
      <c r="F94" s="2" t="s">
        <v>321</v>
      </c>
      <c r="G94" s="2" t="s">
        <v>57</v>
      </c>
      <c r="H94" s="2" t="n">
        <v>20</v>
      </c>
      <c r="I94" s="2"/>
      <c r="J94" s="3" t="n">
        <v>100</v>
      </c>
      <c r="K94" s="3" t="n">
        <v>4</v>
      </c>
      <c r="L94" s="4" t="n">
        <f aca="false">K94/J94</f>
        <v>0.04</v>
      </c>
      <c r="M94" s="3" t="n">
        <v>0.15</v>
      </c>
      <c r="N94" s="5" t="n">
        <f aca="false">IF(L94&gt;0,M94/L94,"-")</f>
        <v>3.75</v>
      </c>
      <c r="O94" s="6" t="n">
        <f aca="false">IF(M94&gt;0,(M94-L94)/M94,"-")</f>
        <v>0.733333333333333</v>
      </c>
      <c r="P94" s="2" t="n">
        <v>4</v>
      </c>
      <c r="Q94" s="2" t="n">
        <v>10</v>
      </c>
      <c r="R94" s="2" t="s">
        <v>184</v>
      </c>
      <c r="S94" s="2" t="s">
        <v>322</v>
      </c>
    </row>
  </sheetData>
  <autoFilter ref="A1:S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323</v>
      </c>
      <c r="B1" s="1" t="s">
        <v>1</v>
      </c>
      <c r="C1" s="1" t="s">
        <v>324</v>
      </c>
      <c r="D1" s="1" t="s">
        <v>18</v>
      </c>
    </row>
    <row r="2" customFormat="false" ht="23.85" hidden="false" customHeight="false" outlineLevel="0" collapsed="false">
      <c r="A2" s="2" t="s">
        <v>325</v>
      </c>
      <c r="B2" s="2" t="s">
        <v>326</v>
      </c>
      <c r="C2" s="12" t="n">
        <f aca="false">SUM(Inventory!K2:K28,Inventory!K29:K42)</f>
        <v>268.5</v>
      </c>
      <c r="D2" s="2" t="s">
        <v>327</v>
      </c>
    </row>
    <row r="3" customFormat="false" ht="23.85" hidden="false" customHeight="false" outlineLevel="0" collapsed="false">
      <c r="A3" s="7" t="s">
        <v>328</v>
      </c>
      <c r="B3" s="7" t="s">
        <v>326</v>
      </c>
      <c r="C3" s="13" t="n">
        <f aca="false">SUM(Inventory!K43:K56)</f>
        <v>82.25</v>
      </c>
      <c r="D3" s="7" t="s">
        <v>327</v>
      </c>
    </row>
    <row r="4" customFormat="false" ht="15" hidden="false" customHeight="false" outlineLevel="0" collapsed="false">
      <c r="A4" s="2" t="s">
        <v>329</v>
      </c>
      <c r="B4" s="2" t="s">
        <v>326</v>
      </c>
      <c r="C4" s="12" t="n">
        <f aca="false">SUM(Inventory!K57:K64)</f>
        <v>29.5</v>
      </c>
      <c r="D4" s="2" t="s">
        <v>327</v>
      </c>
    </row>
    <row r="5" customFormat="false" ht="15" hidden="false" customHeight="false" outlineLevel="0" collapsed="false">
      <c r="A5" s="7" t="s">
        <v>330</v>
      </c>
      <c r="B5" s="7" t="s">
        <v>326</v>
      </c>
      <c r="C5" s="13" t="n">
        <f aca="false">SUM(Inventory!K65:K69)</f>
        <v>35.5</v>
      </c>
      <c r="D5" s="7" t="s">
        <v>327</v>
      </c>
    </row>
    <row r="6" customFormat="false" ht="15" hidden="false" customHeight="false" outlineLevel="0" collapsed="false">
      <c r="A6" s="2" t="s">
        <v>331</v>
      </c>
      <c r="B6" s="2" t="s">
        <v>326</v>
      </c>
      <c r="C6" s="12" t="n">
        <f aca="false">SUM(Inventory!K70:K81)</f>
        <v>50</v>
      </c>
      <c r="D6" s="2" t="s">
        <v>327</v>
      </c>
    </row>
    <row r="7" customFormat="false" ht="15" hidden="false" customHeight="false" outlineLevel="0" collapsed="false">
      <c r="A7" s="7" t="s">
        <v>332</v>
      </c>
      <c r="B7" s="7" t="s">
        <v>326</v>
      </c>
      <c r="C7" s="13" t="n">
        <f aca="false">SUM(Inventory!K82:K86)</f>
        <v>13.25</v>
      </c>
      <c r="D7" s="7" t="s">
        <v>327</v>
      </c>
    </row>
    <row r="8" customFormat="false" ht="23.85" hidden="false" customHeight="false" outlineLevel="0" collapsed="false">
      <c r="A8" s="2" t="s">
        <v>333</v>
      </c>
      <c r="B8" s="2" t="s">
        <v>326</v>
      </c>
      <c r="C8" s="12" t="n">
        <f aca="false">SUM(Inventory!K87:K95)</f>
        <v>32.5</v>
      </c>
      <c r="D8" s="2" t="s">
        <v>327</v>
      </c>
    </row>
    <row r="9" customFormat="false" ht="23.85" hidden="false" customHeight="false" outlineLevel="0" collapsed="false">
      <c r="A9" s="7" t="s">
        <v>334</v>
      </c>
      <c r="B9" s="7" t="s">
        <v>335</v>
      </c>
      <c r="C9" s="13" t="n">
        <v>95</v>
      </c>
      <c r="D9" s="7" t="s">
        <v>336</v>
      </c>
    </row>
    <row r="10" customFormat="false" ht="15" hidden="false" customHeight="false" outlineLevel="0" collapsed="false">
      <c r="A10" s="2" t="s">
        <v>337</v>
      </c>
      <c r="B10" s="2" t="s">
        <v>335</v>
      </c>
      <c r="C10" s="12" t="n">
        <v>30</v>
      </c>
      <c r="D10" s="2" t="s">
        <v>338</v>
      </c>
    </row>
    <row r="11" customFormat="false" ht="15" hidden="false" customHeight="false" outlineLevel="0" collapsed="false">
      <c r="A11" s="7" t="s">
        <v>339</v>
      </c>
      <c r="B11" s="7" t="s">
        <v>335</v>
      </c>
      <c r="C11" s="13" t="n">
        <v>25</v>
      </c>
      <c r="D11" s="7" t="s">
        <v>340</v>
      </c>
    </row>
    <row r="12" customFormat="false" ht="15" hidden="false" customHeight="false" outlineLevel="0" collapsed="false">
      <c r="A12" s="2" t="s">
        <v>341</v>
      </c>
      <c r="B12" s="2" t="s">
        <v>342</v>
      </c>
      <c r="C12" s="12" t="n">
        <v>25</v>
      </c>
      <c r="D12" s="2" t="s">
        <v>343</v>
      </c>
    </row>
    <row r="13" customFormat="false" ht="15" hidden="false" customHeight="false" outlineLevel="0" collapsed="false">
      <c r="A13" s="7" t="s">
        <v>344</v>
      </c>
      <c r="B13" s="7" t="s">
        <v>342</v>
      </c>
      <c r="C13" s="13" t="n">
        <v>35</v>
      </c>
      <c r="D13" s="7" t="s">
        <v>345</v>
      </c>
    </row>
    <row r="14" customFormat="false" ht="15" hidden="false" customHeight="false" outlineLevel="0" collapsed="false">
      <c r="A14" s="2" t="s">
        <v>346</v>
      </c>
      <c r="B14" s="2" t="s">
        <v>335</v>
      </c>
      <c r="C14" s="12" t="n">
        <v>80</v>
      </c>
      <c r="D14" s="2" t="s">
        <v>347</v>
      </c>
    </row>
    <row r="15" customFormat="false" ht="15" hidden="false" customHeight="false" outlineLevel="0" collapsed="false">
      <c r="A15" s="7" t="s">
        <v>348</v>
      </c>
      <c r="B15" s="7" t="s">
        <v>349</v>
      </c>
      <c r="C15" s="13" t="n">
        <v>12</v>
      </c>
      <c r="D15" s="7" t="s">
        <v>350</v>
      </c>
    </row>
    <row r="16" customFormat="false" ht="15" hidden="false" customHeight="false" outlineLevel="0" collapsed="false">
      <c r="A16" s="2" t="s">
        <v>351</v>
      </c>
      <c r="B16" s="2" t="s">
        <v>352</v>
      </c>
      <c r="C16" s="12" t="n">
        <v>75</v>
      </c>
      <c r="D16" s="2" t="s">
        <v>353</v>
      </c>
    </row>
    <row r="17" customFormat="false" ht="15" hidden="false" customHeight="false" outlineLevel="0" collapsed="false">
      <c r="A17" s="14" t="s">
        <v>354</v>
      </c>
      <c r="B17" s="14"/>
      <c r="C17" s="15" t="n">
        <f aca="false">SUM(C2:C16)</f>
        <v>888.5</v>
      </c>
      <c r="D1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8" min="4" style="0" width="14"/>
  </cols>
  <sheetData>
    <row r="1" customFormat="false" ht="23.85" hidden="false" customHeight="fals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</row>
    <row r="2" customFormat="false" ht="15" hidden="false" customHeight="false" outlineLevel="0" collapsed="false">
      <c r="A2" s="2" t="s">
        <v>363</v>
      </c>
      <c r="B2" s="2" t="s">
        <v>60</v>
      </c>
      <c r="C2" s="2" t="n">
        <v>50</v>
      </c>
      <c r="D2" s="4" t="n">
        <f aca="false">IFERROR(VLOOKUP(B2,Inventory!A:L,12,FALSE()),"-")</f>
        <v>0.0095</v>
      </c>
      <c r="E2" s="16" t="n">
        <f aca="false">IF(ISNUMBER(D2),C2*D2,0)</f>
        <v>0.475</v>
      </c>
      <c r="F2" s="2"/>
      <c r="G2" s="2"/>
      <c r="H2" s="2"/>
    </row>
    <row r="3" customFormat="false" ht="15" hidden="false" customHeight="false" outlineLevel="0" collapsed="false">
      <c r="A3" s="7"/>
      <c r="B3" s="7" t="s">
        <v>66</v>
      </c>
      <c r="C3" s="7" t="n">
        <v>20</v>
      </c>
      <c r="D3" s="9" t="n">
        <f aca="false">IFERROR(VLOOKUP(B3,Inventory!A:L,12,FALSE()),"-")</f>
        <v>0.01</v>
      </c>
      <c r="E3" s="17" t="n">
        <f aca="false">IF(ISNUMBER(D3),C3*D3,0)</f>
        <v>0.2</v>
      </c>
      <c r="F3" s="7"/>
      <c r="G3" s="7"/>
      <c r="H3" s="7"/>
    </row>
    <row r="4" customFormat="false" ht="15" hidden="false" customHeight="false" outlineLevel="0" collapsed="false">
      <c r="A4" s="2"/>
      <c r="B4" s="2" t="s">
        <v>72</v>
      </c>
      <c r="C4" s="2" t="n">
        <v>15</v>
      </c>
      <c r="D4" s="4" t="n">
        <f aca="false">IFERROR(VLOOKUP(B4,Inventory!A:L,12,FALSE()),"-")</f>
        <v>0.013</v>
      </c>
      <c r="E4" s="16" t="n">
        <f aca="false">IF(ISNUMBER(D4),C4*D4,0)</f>
        <v>0.195</v>
      </c>
      <c r="F4" s="2"/>
      <c r="G4" s="2"/>
      <c r="H4" s="2"/>
    </row>
    <row r="5" customFormat="false" ht="15" hidden="false" customHeight="false" outlineLevel="0" collapsed="false">
      <c r="A5" s="7"/>
      <c r="B5" s="7" t="s">
        <v>77</v>
      </c>
      <c r="C5" s="7" t="n">
        <v>10</v>
      </c>
      <c r="D5" s="9" t="n">
        <f aca="false">IFERROR(VLOOKUP(B5,Inventory!A:L,12,FALSE()),"-")</f>
        <v>0.015</v>
      </c>
      <c r="E5" s="17" t="n">
        <f aca="false">IF(ISNUMBER(D5),C5*D5,0)</f>
        <v>0.15</v>
      </c>
      <c r="F5" s="7"/>
      <c r="G5" s="7"/>
      <c r="H5" s="7"/>
    </row>
    <row r="6" customFormat="false" ht="15" hidden="false" customHeight="false" outlineLevel="0" collapsed="false">
      <c r="A6" s="2"/>
      <c r="B6" s="2" t="s">
        <v>96</v>
      </c>
      <c r="C6" s="2" t="n">
        <v>25</v>
      </c>
      <c r="D6" s="4" t="n">
        <f aca="false">IFERROR(VLOOKUP(B6,Inventory!A:L,12,FALSE()),"-")</f>
        <v>0.019</v>
      </c>
      <c r="E6" s="16" t="n">
        <f aca="false">IF(ISNUMBER(D6),C6*D6,0)</f>
        <v>0.475</v>
      </c>
      <c r="F6" s="2"/>
      <c r="G6" s="2"/>
      <c r="H6" s="2"/>
    </row>
    <row r="7" customFormat="false" ht="15" hidden="false" customHeight="false" outlineLevel="0" collapsed="false">
      <c r="A7" s="7"/>
      <c r="B7" s="7" t="s">
        <v>101</v>
      </c>
      <c r="C7" s="7" t="n">
        <v>20</v>
      </c>
      <c r="D7" s="9" t="n">
        <f aca="false">IFERROR(VLOOKUP(B7,Inventory!A:L,12,FALSE()),"-")</f>
        <v>0.026</v>
      </c>
      <c r="E7" s="17" t="n">
        <f aca="false">IF(ISNUMBER(D7),C7*D7,0)</f>
        <v>0.52</v>
      </c>
      <c r="F7" s="7"/>
      <c r="G7" s="7"/>
      <c r="H7" s="7"/>
    </row>
    <row r="8" customFormat="false" ht="15" hidden="false" customHeight="false" outlineLevel="0" collapsed="false">
      <c r="A8" s="2"/>
      <c r="B8" s="2" t="s">
        <v>107</v>
      </c>
      <c r="C8" s="2" t="n">
        <v>15</v>
      </c>
      <c r="D8" s="4" t="n">
        <f aca="false">IFERROR(VLOOKUP(B8,Inventory!A:L,12,FALSE()),"-")</f>
        <v>0.011</v>
      </c>
      <c r="E8" s="16" t="n">
        <f aca="false">IF(ISNUMBER(D8),C8*D8,0)</f>
        <v>0.165</v>
      </c>
      <c r="F8" s="2"/>
      <c r="G8" s="2"/>
      <c r="H8" s="2"/>
    </row>
    <row r="9" customFormat="false" ht="15" hidden="false" customHeight="false" outlineLevel="0" collapsed="false">
      <c r="A9" s="7"/>
      <c r="B9" s="7" t="s">
        <v>125</v>
      </c>
      <c r="C9" s="7" t="n">
        <v>30</v>
      </c>
      <c r="D9" s="9" t="n">
        <f aca="false">IFERROR(VLOOKUP(B9,Inventory!A:L,12,FALSE()),"-")</f>
        <v>0.016</v>
      </c>
      <c r="E9" s="17" t="n">
        <f aca="false">IF(ISNUMBER(D9),C9*D9,0)</f>
        <v>0.48</v>
      </c>
      <c r="F9" s="7"/>
      <c r="G9" s="7"/>
      <c r="H9" s="7"/>
    </row>
    <row r="10" customFormat="false" ht="15" hidden="false" customHeight="false" outlineLevel="0" collapsed="false">
      <c r="A10" s="2"/>
      <c r="B10" s="2" t="s">
        <v>162</v>
      </c>
      <c r="C10" s="2" t="n">
        <v>30</v>
      </c>
      <c r="D10" s="4" t="n">
        <f aca="false">IFERROR(VLOOKUP(B10,Inventory!A:L,12,FALSE()),"-")</f>
        <v>0.005</v>
      </c>
      <c r="E10" s="16" t="n">
        <f aca="false">IF(ISNUMBER(D10),C10*D10,0)</f>
        <v>0.15</v>
      </c>
      <c r="F10" s="2"/>
      <c r="G10" s="2"/>
      <c r="H10" s="2"/>
    </row>
    <row r="11" customFormat="false" ht="15" hidden="false" customHeight="false" outlineLevel="0" collapsed="false">
      <c r="A11" s="7"/>
      <c r="B11" s="7" t="s">
        <v>167</v>
      </c>
      <c r="C11" s="7" t="n">
        <v>25</v>
      </c>
      <c r="D11" s="9" t="n">
        <f aca="false">IFERROR(VLOOKUP(B11,Inventory!A:L,12,FALSE()),"-")</f>
        <v>0.008</v>
      </c>
      <c r="E11" s="17" t="n">
        <f aca="false">IF(ISNUMBER(D11),C11*D11,0)</f>
        <v>0.2</v>
      </c>
      <c r="F11" s="7"/>
      <c r="G11" s="7"/>
      <c r="H11" s="7"/>
    </row>
    <row r="12" customFormat="false" ht="15" hidden="false" customHeight="false" outlineLevel="0" collapsed="false">
      <c r="A12" s="2"/>
      <c r="B12" s="2" t="s">
        <v>180</v>
      </c>
      <c r="C12" s="2" t="n">
        <v>50</v>
      </c>
      <c r="D12" s="4" t="n">
        <f aca="false">IFERROR(VLOOKUP(B12,Inventory!A:L,12,FALSE()),"-")</f>
        <v>0.024</v>
      </c>
      <c r="E12" s="16" t="n">
        <f aca="false">IF(ISNUMBER(D12),C12*D12,0)</f>
        <v>1.2</v>
      </c>
      <c r="F12" s="2"/>
      <c r="G12" s="2"/>
      <c r="H12" s="2"/>
    </row>
    <row r="13" customFormat="false" ht="15" hidden="false" customHeight="false" outlineLevel="0" collapsed="false">
      <c r="A13" s="7"/>
      <c r="B13" s="7" t="s">
        <v>190</v>
      </c>
      <c r="C13" s="7" t="n">
        <v>40</v>
      </c>
      <c r="D13" s="9" t="n">
        <f aca="false">IFERROR(VLOOKUP(B13,Inventory!A:L,12,FALSE()),"-")</f>
        <v>0.028</v>
      </c>
      <c r="E13" s="17" t="n">
        <f aca="false">IF(ISNUMBER(D13),C13*D13,0)</f>
        <v>1.12</v>
      </c>
      <c r="F13" s="7"/>
      <c r="G13" s="7"/>
      <c r="H13" s="7"/>
    </row>
    <row r="14" customFormat="false" ht="15" hidden="false" customHeight="false" outlineLevel="0" collapsed="false">
      <c r="A14" s="2"/>
      <c r="B14" s="2" t="s">
        <v>223</v>
      </c>
      <c r="C14" s="2" t="n">
        <v>50</v>
      </c>
      <c r="D14" s="4" t="n">
        <f aca="false">IFERROR(VLOOKUP(B14,Inventory!A:L,12,FALSE()),"-")</f>
        <v>0.012</v>
      </c>
      <c r="E14" s="16" t="n">
        <f aca="false">IF(ISNUMBER(D14),C14*D14,0)</f>
        <v>0.6</v>
      </c>
      <c r="F14" s="2"/>
      <c r="G14" s="2"/>
      <c r="H14" s="2"/>
    </row>
    <row r="15" customFormat="false" ht="15" hidden="false" customHeight="false" outlineLevel="0" collapsed="false">
      <c r="A15" s="7"/>
      <c r="B15" s="7" t="s">
        <v>201</v>
      </c>
      <c r="C15" s="7" t="n">
        <v>20</v>
      </c>
      <c r="D15" s="9" t="n">
        <f aca="false">IFERROR(VLOOKUP(B15,Inventory!A:L,12,FALSE()),"-")</f>
        <v>0.004</v>
      </c>
      <c r="E15" s="17" t="n">
        <f aca="false">IF(ISNUMBER(D15),C15*D15,0)</f>
        <v>0.08</v>
      </c>
      <c r="F15" s="7"/>
      <c r="G15" s="7"/>
      <c r="H15" s="7"/>
    </row>
    <row r="16" customFormat="false" ht="15" hidden="false" customHeight="false" outlineLevel="0" collapsed="false">
      <c r="A16" s="14" t="s">
        <v>364</v>
      </c>
      <c r="B16" s="14"/>
      <c r="C16" s="14"/>
      <c r="D16" s="14"/>
      <c r="E16" s="18" t="n">
        <f aca="false">SUM(E2:E15)</f>
        <v>6.01</v>
      </c>
      <c r="F16" s="18" t="n">
        <v>39.95</v>
      </c>
      <c r="G16" s="18" t="n">
        <f aca="false">F16-E16</f>
        <v>33.94</v>
      </c>
      <c r="H16" s="19" t="n">
        <f aca="false">IF(F16&gt;0,G16/F16,"-")</f>
        <v>0.849561952440551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2" t="s">
        <v>365</v>
      </c>
      <c r="B18" s="2" t="s">
        <v>29</v>
      </c>
      <c r="C18" s="2" t="n">
        <v>8</v>
      </c>
      <c r="D18" s="4" t="n">
        <f aca="false">IFERROR(VLOOKUP(B18,Inventory!A:L,12,FALSE()),"-")</f>
        <v>0.011</v>
      </c>
      <c r="E18" s="16" t="n">
        <f aca="false">IF(ISNUMBER(D18),C18*D18,0)</f>
        <v>0.088</v>
      </c>
      <c r="F18" s="2"/>
      <c r="G18" s="2"/>
      <c r="H18" s="2"/>
    </row>
    <row r="19" customFormat="false" ht="15" hidden="false" customHeight="false" outlineLevel="0" collapsed="false">
      <c r="A19" s="7"/>
      <c r="B19" s="7" t="s">
        <v>32</v>
      </c>
      <c r="C19" s="7" t="n">
        <v>4</v>
      </c>
      <c r="D19" s="9" t="n">
        <f aca="false">IFERROR(VLOOKUP(B19,Inventory!A:L,12,FALSE()),"-")</f>
        <v>0.0115</v>
      </c>
      <c r="E19" s="17" t="n">
        <f aca="false">IF(ISNUMBER(D19),C19*D19,0)</f>
        <v>0.046</v>
      </c>
      <c r="F19" s="7"/>
      <c r="G19" s="7"/>
      <c r="H19" s="7"/>
    </row>
    <row r="20" customFormat="false" ht="15" hidden="false" customHeight="false" outlineLevel="0" collapsed="false">
      <c r="A20" s="2"/>
      <c r="B20" s="2" t="s">
        <v>60</v>
      </c>
      <c r="C20" s="2" t="n">
        <v>8</v>
      </c>
      <c r="D20" s="4" t="n">
        <f aca="false">IFERROR(VLOOKUP(B20,Inventory!A:L,12,FALSE()),"-")</f>
        <v>0.0095</v>
      </c>
      <c r="E20" s="16" t="n">
        <f aca="false">IF(ISNUMBER(D20),C20*D20,0)</f>
        <v>0.076</v>
      </c>
      <c r="F20" s="2"/>
      <c r="G20" s="2"/>
      <c r="H20" s="2"/>
    </row>
    <row r="21" customFormat="false" ht="15" hidden="false" customHeight="false" outlineLevel="0" collapsed="false">
      <c r="A21" s="7"/>
      <c r="B21" s="7" t="s">
        <v>112</v>
      </c>
      <c r="C21" s="7" t="n">
        <v>8</v>
      </c>
      <c r="D21" s="9" t="n">
        <f aca="false">IFERROR(VLOOKUP(B21,Inventory!A:L,12,FALSE()),"-")</f>
        <v>0.0115</v>
      </c>
      <c r="E21" s="17" t="n">
        <f aca="false">IF(ISNUMBER(D21),C21*D21,0)</f>
        <v>0.092</v>
      </c>
      <c r="F21" s="7"/>
      <c r="G21" s="7"/>
      <c r="H21" s="7"/>
    </row>
    <row r="22" customFormat="false" ht="15" hidden="false" customHeight="false" outlineLevel="0" collapsed="false">
      <c r="A22" s="2"/>
      <c r="B22" s="2" t="s">
        <v>136</v>
      </c>
      <c r="C22" s="2" t="n">
        <v>16</v>
      </c>
      <c r="D22" s="4" t="n">
        <f aca="false">IFERROR(VLOOKUP(B22,Inventory!A:L,12,FALSE()),"-")</f>
        <v>0.0125</v>
      </c>
      <c r="E22" s="16" t="n">
        <f aca="false">IF(ISNUMBER(D22),C22*D22,0)</f>
        <v>0.2</v>
      </c>
      <c r="F22" s="2"/>
      <c r="G22" s="2"/>
      <c r="H22" s="2"/>
    </row>
    <row r="23" customFormat="false" ht="15" hidden="false" customHeight="false" outlineLevel="0" collapsed="false">
      <c r="A23" s="7"/>
      <c r="B23" s="7" t="s">
        <v>162</v>
      </c>
      <c r="C23" s="7" t="n">
        <v>8</v>
      </c>
      <c r="D23" s="9" t="n">
        <f aca="false">IFERROR(VLOOKUP(B23,Inventory!A:L,12,FALSE()),"-")</f>
        <v>0.005</v>
      </c>
      <c r="E23" s="17" t="n">
        <f aca="false">IF(ISNUMBER(D23),C23*D23,0)</f>
        <v>0.04</v>
      </c>
      <c r="F23" s="7"/>
      <c r="G23" s="7"/>
      <c r="H23" s="7"/>
    </row>
    <row r="24" customFormat="false" ht="15" hidden="false" customHeight="false" outlineLevel="0" collapsed="false">
      <c r="A24" s="2"/>
      <c r="B24" s="2" t="s">
        <v>174</v>
      </c>
      <c r="C24" s="2" t="n">
        <v>8</v>
      </c>
      <c r="D24" s="4" t="n">
        <f aca="false">IFERROR(VLOOKUP(B24,Inventory!A:L,12,FALSE()),"-")</f>
        <v>0.009</v>
      </c>
      <c r="E24" s="16" t="n">
        <f aca="false">IF(ISNUMBER(D24),C24*D24,0)</f>
        <v>0.072</v>
      </c>
      <c r="F24" s="2"/>
      <c r="G24" s="2"/>
      <c r="H24" s="2"/>
    </row>
    <row r="25" customFormat="false" ht="15" hidden="false" customHeight="false" outlineLevel="0" collapsed="false">
      <c r="A25" s="7"/>
      <c r="B25" s="7" t="s">
        <v>251</v>
      </c>
      <c r="C25" s="7" t="n">
        <v>4</v>
      </c>
      <c r="D25" s="9" t="n">
        <f aca="false">IFERROR(VLOOKUP(B25,Inventory!A:L,12,FALSE()),"-")</f>
        <v>0.03</v>
      </c>
      <c r="E25" s="17" t="n">
        <f aca="false">IF(ISNUMBER(D25),C25*D25,0)</f>
        <v>0.12</v>
      </c>
      <c r="F25" s="7"/>
      <c r="G25" s="7"/>
      <c r="H25" s="7"/>
    </row>
    <row r="26" customFormat="false" ht="15" hidden="false" customHeight="false" outlineLevel="0" collapsed="false">
      <c r="A26" s="2"/>
      <c r="B26" s="2" t="s">
        <v>254</v>
      </c>
      <c r="C26" s="2" t="n">
        <v>4</v>
      </c>
      <c r="D26" s="4" t="n">
        <f aca="false">IFERROR(VLOOKUP(B26,Inventory!A:L,12,FALSE()),"-")</f>
        <v>0.0325</v>
      </c>
      <c r="E26" s="16" t="n">
        <f aca="false">IF(ISNUMBER(D26),C26*D26,0)</f>
        <v>0.13</v>
      </c>
      <c r="F26" s="2"/>
      <c r="G26" s="2"/>
      <c r="H26" s="2"/>
    </row>
    <row r="27" customFormat="false" ht="15" hidden="false" customHeight="false" outlineLevel="0" collapsed="false">
      <c r="A27" s="7"/>
      <c r="B27" s="7" t="s">
        <v>286</v>
      </c>
      <c r="C27" s="7" t="n">
        <v>8</v>
      </c>
      <c r="D27" s="9" t="n">
        <f aca="false">IFERROR(VLOOKUP(B27,Inventory!A:L,12,FALSE()),"-")</f>
        <v>0.03</v>
      </c>
      <c r="E27" s="17" t="n">
        <f aca="false">IF(ISNUMBER(D27),C27*D27,0)</f>
        <v>0.24</v>
      </c>
      <c r="F27" s="7"/>
      <c r="G27" s="7"/>
      <c r="H27" s="7"/>
    </row>
    <row r="28" customFormat="false" ht="15" hidden="false" customHeight="false" outlineLevel="0" collapsed="false">
      <c r="A28" s="14" t="s">
        <v>366</v>
      </c>
      <c r="B28" s="14"/>
      <c r="C28" s="14"/>
      <c r="D28" s="14"/>
      <c r="E28" s="18" t="n">
        <f aca="false">SUM(E18:E27)</f>
        <v>1.104</v>
      </c>
      <c r="F28" s="18" t="n">
        <v>14.95</v>
      </c>
      <c r="G28" s="18" t="n">
        <f aca="false">F28-E28</f>
        <v>13.846</v>
      </c>
      <c r="H28" s="19" t="n">
        <f aca="false">IF(F28&gt;0,G28/F28,"-")</f>
        <v>0.926153846153846</v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2" t="s">
        <v>367</v>
      </c>
      <c r="B30" s="2" t="s">
        <v>41</v>
      </c>
      <c r="C30" s="2" t="n">
        <v>4</v>
      </c>
      <c r="D30" s="4" t="n">
        <f aca="false">IFERROR(VLOOKUP(B30,Inventory!A:L,12,FALSE()),"-")</f>
        <v>0.0115</v>
      </c>
      <c r="E30" s="16" t="n">
        <f aca="false">IF(ISNUMBER(D30),C30*D30,0)</f>
        <v>0.046</v>
      </c>
      <c r="F30" s="2"/>
      <c r="G30" s="2"/>
      <c r="H30" s="2"/>
    </row>
    <row r="31" customFormat="false" ht="15" hidden="false" customHeight="false" outlineLevel="0" collapsed="false">
      <c r="A31" s="7"/>
      <c r="B31" s="7" t="s">
        <v>158</v>
      </c>
      <c r="C31" s="7" t="n">
        <v>4</v>
      </c>
      <c r="D31" s="9" t="n">
        <f aca="false">IFERROR(VLOOKUP(B31,Inventory!A:L,12,FALSE()),"-")</f>
        <v>0.007</v>
      </c>
      <c r="E31" s="17" t="n">
        <f aca="false">IF(ISNUMBER(D31),C31*D31,0)</f>
        <v>0.028</v>
      </c>
      <c r="F31" s="7"/>
      <c r="G31" s="7"/>
      <c r="H31" s="7"/>
    </row>
    <row r="32" customFormat="false" ht="15" hidden="false" customHeight="false" outlineLevel="0" collapsed="false">
      <c r="A32" s="2"/>
      <c r="B32" s="2" t="s">
        <v>235</v>
      </c>
      <c r="C32" s="2" t="n">
        <v>4</v>
      </c>
      <c r="D32" s="4" t="n">
        <f aca="false">IFERROR(VLOOKUP(B32,Inventory!A:L,12,FALSE()),"-")</f>
        <v>0.025</v>
      </c>
      <c r="E32" s="16" t="n">
        <f aca="false">IF(ISNUMBER(D32),C32*D32,0)</f>
        <v>0.1</v>
      </c>
      <c r="F32" s="2"/>
      <c r="G32" s="2"/>
      <c r="H32" s="2"/>
    </row>
    <row r="33" customFormat="false" ht="15" hidden="false" customHeight="false" outlineLevel="0" collapsed="false">
      <c r="A33" s="7"/>
      <c r="B33" s="7" t="s">
        <v>199</v>
      </c>
      <c r="C33" s="7" t="n">
        <v>4</v>
      </c>
      <c r="D33" s="9" t="n">
        <f aca="false">IFERROR(VLOOKUP(B33,Inventory!A:L,12,FALSE()),"-")</f>
        <v>0.005</v>
      </c>
      <c r="E33" s="17" t="n">
        <f aca="false">IF(ISNUMBER(D33),C33*D33,0)</f>
        <v>0.02</v>
      </c>
      <c r="F33" s="7"/>
      <c r="G33" s="7"/>
      <c r="H33" s="7"/>
    </row>
    <row r="34" customFormat="false" ht="15" hidden="false" customHeight="false" outlineLevel="0" collapsed="false">
      <c r="A34" s="14" t="s">
        <v>368</v>
      </c>
      <c r="B34" s="14"/>
      <c r="C34" s="14"/>
      <c r="D34" s="14"/>
      <c r="E34" s="18" t="n">
        <f aca="false">SUM(E30:E33)</f>
        <v>0.194</v>
      </c>
      <c r="F34" s="18" t="n">
        <v>4.95</v>
      </c>
      <c r="G34" s="18" t="n">
        <f aca="false">F34-E34</f>
        <v>4.756</v>
      </c>
      <c r="H34" s="19" t="n">
        <f aca="false">IF(F34&gt;0,G34/F34,"-")</f>
        <v>0.960808080808081</v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2" t="s">
        <v>369</v>
      </c>
      <c r="B36" s="2" t="s">
        <v>266</v>
      </c>
      <c r="C36" s="2" t="n">
        <v>4</v>
      </c>
      <c r="D36" s="4" t="n">
        <f aca="false">IFERROR(VLOOKUP(B36,Inventory!A:L,12,FALSE()),"-")</f>
        <v>0.015</v>
      </c>
      <c r="E36" s="16" t="n">
        <f aca="false">IF(ISNUMBER(D36),C36*D36,0)</f>
        <v>0.06</v>
      </c>
      <c r="F36" s="2"/>
      <c r="G36" s="2"/>
      <c r="H36" s="2"/>
    </row>
    <row r="37" customFormat="false" ht="15" hidden="false" customHeight="false" outlineLevel="0" collapsed="false">
      <c r="A37" s="7"/>
      <c r="B37" s="7" t="s">
        <v>277</v>
      </c>
      <c r="C37" s="7" t="n">
        <v>4</v>
      </c>
      <c r="D37" s="9" t="n">
        <f aca="false">IFERROR(VLOOKUP(B37,Inventory!A:L,12,FALSE()),"-")</f>
        <v>0.01</v>
      </c>
      <c r="E37" s="17" t="n">
        <f aca="false">IF(ISNUMBER(D37),C37*D37,0)</f>
        <v>0.04</v>
      </c>
      <c r="F37" s="7"/>
      <c r="G37" s="7"/>
      <c r="H37" s="7"/>
    </row>
    <row r="38" customFormat="false" ht="15" hidden="false" customHeight="false" outlineLevel="0" collapsed="false">
      <c r="A38" s="2"/>
      <c r="B38" s="2" t="s">
        <v>284</v>
      </c>
      <c r="C38" s="2" t="n">
        <v>4</v>
      </c>
      <c r="D38" s="4" t="n">
        <f aca="false">IFERROR(VLOOKUP(B38,Inventory!A:L,12,FALSE()),"-")</f>
        <v>0.0075</v>
      </c>
      <c r="E38" s="16" t="n">
        <f aca="false">IF(ISNUMBER(D38),C38*D38,0)</f>
        <v>0.03</v>
      </c>
      <c r="F38" s="2"/>
      <c r="G38" s="2"/>
      <c r="H38" s="2"/>
    </row>
    <row r="39" customFormat="false" ht="15" hidden="false" customHeight="false" outlineLevel="0" collapsed="false">
      <c r="A39" s="7"/>
      <c r="B39" s="7" t="s">
        <v>201</v>
      </c>
      <c r="C39" s="7" t="n">
        <v>4</v>
      </c>
      <c r="D39" s="9" t="n">
        <f aca="false">IFERROR(VLOOKUP(B39,Inventory!A:L,12,FALSE()),"-")</f>
        <v>0.004</v>
      </c>
      <c r="E39" s="17" t="n">
        <f aca="false">IF(ISNUMBER(D39),C39*D39,0)</f>
        <v>0.016</v>
      </c>
      <c r="F39" s="7"/>
      <c r="G39" s="7"/>
      <c r="H39" s="7"/>
    </row>
    <row r="40" customFormat="false" ht="15" hidden="false" customHeight="false" outlineLevel="0" collapsed="false">
      <c r="A40" s="14" t="s">
        <v>370</v>
      </c>
      <c r="B40" s="14"/>
      <c r="C40" s="14"/>
      <c r="D40" s="14"/>
      <c r="E40" s="18" t="n">
        <f aca="false">SUM(E36:E39)</f>
        <v>0.146</v>
      </c>
      <c r="F40" s="18" t="n">
        <v>3.95</v>
      </c>
      <c r="G40" s="18" t="n">
        <f aca="false">F40-E40</f>
        <v>3.804</v>
      </c>
      <c r="H40" s="19" t="n">
        <f aca="false">IF(F40&gt;0,G40/F40,"-")</f>
        <v>0.963037974683544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17</v>
      </c>
      <c r="B1" s="1" t="s">
        <v>349</v>
      </c>
      <c r="C1" s="1" t="s">
        <v>371</v>
      </c>
      <c r="D1" s="1" t="s">
        <v>372</v>
      </c>
      <c r="E1" s="1" t="s">
        <v>18</v>
      </c>
    </row>
    <row r="2" customFormat="false" ht="15" hidden="false" customHeight="false" outlineLevel="0" collapsed="false">
      <c r="A2" s="2" t="s">
        <v>27</v>
      </c>
      <c r="B2" s="2" t="s">
        <v>373</v>
      </c>
      <c r="C2" s="2" t="s">
        <v>374</v>
      </c>
      <c r="D2" s="2" t="s">
        <v>375</v>
      </c>
      <c r="E2" s="2" t="s">
        <v>376</v>
      </c>
    </row>
    <row r="3" customFormat="false" ht="23.85" hidden="false" customHeight="false" outlineLevel="0" collapsed="false">
      <c r="A3" s="7" t="s">
        <v>377</v>
      </c>
      <c r="B3" s="7" t="s">
        <v>378</v>
      </c>
      <c r="C3" s="7" t="s">
        <v>379</v>
      </c>
      <c r="D3" s="7" t="s">
        <v>375</v>
      </c>
      <c r="E3" s="7" t="s">
        <v>380</v>
      </c>
    </row>
    <row r="4" customFormat="false" ht="23.85" hidden="false" customHeight="false" outlineLevel="0" collapsed="false">
      <c r="A4" s="2" t="s">
        <v>381</v>
      </c>
      <c r="B4" s="2" t="s">
        <v>382</v>
      </c>
      <c r="C4" s="2" t="s">
        <v>379</v>
      </c>
      <c r="D4" s="2" t="s">
        <v>383</v>
      </c>
      <c r="E4" s="2" t="s">
        <v>384</v>
      </c>
    </row>
    <row r="5" customFormat="false" ht="23.85" hidden="false" customHeight="false" outlineLevel="0" collapsed="false">
      <c r="A5" s="7" t="s">
        <v>221</v>
      </c>
      <c r="B5" s="7" t="s">
        <v>385</v>
      </c>
      <c r="C5" s="7" t="s">
        <v>379</v>
      </c>
      <c r="D5" s="7" t="s">
        <v>386</v>
      </c>
      <c r="E5" s="7" t="s">
        <v>387</v>
      </c>
    </row>
    <row r="6" customFormat="false" ht="23.85" hidden="false" customHeight="false" outlineLevel="0" collapsed="false">
      <c r="A6" s="2" t="s">
        <v>388</v>
      </c>
      <c r="B6" s="2" t="s">
        <v>389</v>
      </c>
      <c r="C6" s="2" t="s">
        <v>379</v>
      </c>
      <c r="D6" s="2" t="s">
        <v>375</v>
      </c>
      <c r="E6" s="2" t="s">
        <v>390</v>
      </c>
    </row>
    <row r="7" customFormat="false" ht="23.85" hidden="false" customHeight="false" outlineLevel="0" collapsed="false">
      <c r="A7" s="7" t="s">
        <v>391</v>
      </c>
      <c r="B7" s="7" t="s">
        <v>392</v>
      </c>
      <c r="C7" s="7" t="s">
        <v>393</v>
      </c>
      <c r="D7" s="7" t="s">
        <v>394</v>
      </c>
      <c r="E7" s="7" t="s">
        <v>395</v>
      </c>
    </row>
    <row r="8" customFormat="false" ht="23.85" hidden="false" customHeight="false" outlineLevel="0" collapsed="false">
      <c r="A8" s="2" t="s">
        <v>396</v>
      </c>
      <c r="B8" s="2" t="s">
        <v>397</v>
      </c>
      <c r="C8" s="2" t="s">
        <v>379</v>
      </c>
      <c r="D8" s="2" t="s">
        <v>398</v>
      </c>
      <c r="E8" s="2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2026-03-13T15:02:27Z</dcterms:created>
  <dc:creator>openpyxl</dc:creator>
  <dc:description/>
  <dc:language>en-US</dc:language>
  <cp:lastModifiedBy/>
  <dcterms:modified xsi:type="dcterms:W3CDTF">2026-03-13T15:02:27Z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